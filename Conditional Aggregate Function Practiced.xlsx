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 Related Files\Portfolio\Excel\Conditional AF, Date F, Wildcard\Practiced File\"/>
    </mc:Choice>
  </mc:AlternateContent>
  <xr:revisionPtr revIDLastSave="0" documentId="13_ncr:1_{3AD0A1D9-3182-443E-B26E-43AD96A4DD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Data" sheetId="1" r:id="rId1"/>
    <sheet name="CA Functions Practiced" sheetId="2" r:id="rId2"/>
    <sheet name="CA Functions Practiced (Eng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3" l="1"/>
  <c r="C51" i="3"/>
  <c r="C50" i="3"/>
  <c r="C45" i="3"/>
  <c r="C44" i="3"/>
  <c r="C43" i="3"/>
  <c r="C42" i="3"/>
  <c r="C41" i="3"/>
  <c r="C36" i="3"/>
  <c r="C35" i="3"/>
  <c r="C34" i="3"/>
  <c r="C33" i="3"/>
  <c r="C32" i="3"/>
  <c r="C27" i="3"/>
  <c r="C26" i="3"/>
  <c r="C25" i="3"/>
  <c r="C24" i="3"/>
  <c r="C23" i="3"/>
  <c r="C18" i="3"/>
  <c r="C17" i="3"/>
  <c r="C16" i="3"/>
  <c r="C15" i="3"/>
  <c r="C14" i="3"/>
  <c r="C9" i="3"/>
  <c r="C8" i="3"/>
  <c r="C7" i="3"/>
  <c r="C6" i="3"/>
  <c r="C5" i="3"/>
  <c r="B50" i="2"/>
  <c r="B49" i="2"/>
  <c r="B48" i="2"/>
  <c r="B43" i="2"/>
  <c r="B42" i="2"/>
  <c r="B41" i="2"/>
  <c r="B40" i="2"/>
  <c r="B39" i="2"/>
  <c r="B34" i="2"/>
  <c r="B33" i="2"/>
  <c r="B32" i="2"/>
  <c r="B31" i="2"/>
  <c r="B30" i="2"/>
  <c r="B25" i="2"/>
  <c r="B24" i="2"/>
  <c r="B23" i="2"/>
  <c r="B21" i="2"/>
  <c r="B22" i="2"/>
  <c r="B16" i="2"/>
  <c r="B15" i="2"/>
  <c r="B14" i="2"/>
  <c r="B13" i="2"/>
  <c r="B12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<sst xmlns="http://schemas.openxmlformats.org/spreadsheetml/2006/main" count="439" uniqueCount="193">
  <si>
    <t>Order ID</t>
  </si>
  <si>
    <t>Order Date</t>
  </si>
  <si>
    <t>Region</t>
  </si>
  <si>
    <t>Employee Gender</t>
  </si>
  <si>
    <t>Department</t>
  </si>
  <si>
    <t>Product Name</t>
  </si>
  <si>
    <t>Quantity</t>
  </si>
  <si>
    <t>Sales Amount</t>
  </si>
  <si>
    <t>Status</t>
  </si>
  <si>
    <t>ORD001</t>
  </si>
  <si>
    <t>2026-05-01</t>
  </si>
  <si>
    <t>Dhaka</t>
  </si>
  <si>
    <t>Female</t>
  </si>
  <si>
    <t>Sales</t>
  </si>
  <si>
    <t>Laptop</t>
  </si>
  <si>
    <t>Active</t>
  </si>
  <si>
    <t>ORD002</t>
  </si>
  <si>
    <t>2026-05-02</t>
  </si>
  <si>
    <t>Chattogram</t>
  </si>
  <si>
    <t>Male</t>
  </si>
  <si>
    <t>Mobile</t>
  </si>
  <si>
    <t>ORD003</t>
  </si>
  <si>
    <t>2026-05-03</t>
  </si>
  <si>
    <t>Sylhet</t>
  </si>
  <si>
    <t>HR</t>
  </si>
  <si>
    <t>Large TV</t>
  </si>
  <si>
    <t>Inactive</t>
  </si>
  <si>
    <t>ORD004</t>
  </si>
  <si>
    <t>2026-05-04</t>
  </si>
  <si>
    <t>IT</t>
  </si>
  <si>
    <t>ORD005</t>
  </si>
  <si>
    <t>2026-05-05</t>
  </si>
  <si>
    <t>Rajshahi</t>
  </si>
  <si>
    <t>ORD006</t>
  </si>
  <si>
    <t>2026-05-06</t>
  </si>
  <si>
    <t>Marketing</t>
  </si>
  <si>
    <t>Headphone</t>
  </si>
  <si>
    <t>ORD007</t>
  </si>
  <si>
    <t>2026-05-07</t>
  </si>
  <si>
    <t>ORD008</t>
  </si>
  <si>
    <t>2026-05-08</t>
  </si>
  <si>
    <t>Khulna</t>
  </si>
  <si>
    <t>ORD009</t>
  </si>
  <si>
    <t>2026-05-09</t>
  </si>
  <si>
    <t>Barishal</t>
  </si>
  <si>
    <t>ORD010</t>
  </si>
  <si>
    <t>2026-05-10</t>
  </si>
  <si>
    <t>ORD011</t>
  </si>
  <si>
    <t>2026-05-11</t>
  </si>
  <si>
    <t>Rangpur</t>
  </si>
  <si>
    <t>ORD012</t>
  </si>
  <si>
    <t>2026-05-12</t>
  </si>
  <si>
    <t>ORD013</t>
  </si>
  <si>
    <t>2026-05-13</t>
  </si>
  <si>
    <t>ORD014</t>
  </si>
  <si>
    <t>2026-05-14</t>
  </si>
  <si>
    <t>Earphone</t>
  </si>
  <si>
    <t>ORD015</t>
  </si>
  <si>
    <t>2026-05-15</t>
  </si>
  <si>
    <t>ORD016</t>
  </si>
  <si>
    <t>2026-05-16</t>
  </si>
  <si>
    <t>Cumilla</t>
  </si>
  <si>
    <t>ORD017</t>
  </si>
  <si>
    <t>2026-05-17</t>
  </si>
  <si>
    <t>ORD018</t>
  </si>
  <si>
    <t>2026-05-18</t>
  </si>
  <si>
    <t>ORD019</t>
  </si>
  <si>
    <t>2026-05-19</t>
  </si>
  <si>
    <t>ORD020</t>
  </si>
  <si>
    <t>2026-05-20</t>
  </si>
  <si>
    <t>ORD021</t>
  </si>
  <si>
    <t>2026-05-21</t>
  </si>
  <si>
    <t>ORD022</t>
  </si>
  <si>
    <t>2026-05-22</t>
  </si>
  <si>
    <t>ORD023</t>
  </si>
  <si>
    <t>2026-05-23</t>
  </si>
  <si>
    <t>ORD024</t>
  </si>
  <si>
    <t>2026-05-24</t>
  </si>
  <si>
    <t>ORD025</t>
  </si>
  <si>
    <t>2026-05-25</t>
  </si>
  <si>
    <t>ORD026</t>
  </si>
  <si>
    <t>2026-05-26</t>
  </si>
  <si>
    <t>ORD027</t>
  </si>
  <si>
    <t>2026-05-27</t>
  </si>
  <si>
    <t>ORD028</t>
  </si>
  <si>
    <t>2026-05-28</t>
  </si>
  <si>
    <t>ORD029</t>
  </si>
  <si>
    <t>2026-05-29</t>
  </si>
  <si>
    <t>ORD030</t>
  </si>
  <si>
    <t>2026-05-30</t>
  </si>
  <si>
    <t>ORD031</t>
  </si>
  <si>
    <t>2026-05-31</t>
  </si>
  <si>
    <t>ORD032</t>
  </si>
  <si>
    <t>2026-06-01</t>
  </si>
  <si>
    <t>ORD033</t>
  </si>
  <si>
    <t>2026-06-02</t>
  </si>
  <si>
    <t>ORD034</t>
  </si>
  <si>
    <t>2026-06-03</t>
  </si>
  <si>
    <t>ORD035</t>
  </si>
  <si>
    <t>2026-06-04</t>
  </si>
  <si>
    <t>ORD036</t>
  </si>
  <si>
    <t>2026-06-05</t>
  </si>
  <si>
    <t>ORD037</t>
  </si>
  <si>
    <t>2026-06-06</t>
  </si>
  <si>
    <t>ORD038</t>
  </si>
  <si>
    <t>2026-06-07</t>
  </si>
  <si>
    <t>ORD039</t>
  </si>
  <si>
    <t>2026-06-08</t>
  </si>
  <si>
    <t>ORD040</t>
  </si>
  <si>
    <t>2026-06-09</t>
  </si>
  <si>
    <t>ORD041</t>
  </si>
  <si>
    <t>2026-06-10</t>
  </si>
  <si>
    <t>ORD042</t>
  </si>
  <si>
    <t>2026-06-11</t>
  </si>
  <si>
    <t>ORD043</t>
  </si>
  <si>
    <t>2026-06-12</t>
  </si>
  <si>
    <t>ORD044</t>
  </si>
  <si>
    <t>2026-06-13</t>
  </si>
  <si>
    <t>ORD045</t>
  </si>
  <si>
    <t>2026-06-14</t>
  </si>
  <si>
    <t>ORD046</t>
  </si>
  <si>
    <t>2026-06-15</t>
  </si>
  <si>
    <t>ORD047</t>
  </si>
  <si>
    <t>2026-06-16</t>
  </si>
  <si>
    <t>ORD048</t>
  </si>
  <si>
    <t>2026-06-17</t>
  </si>
  <si>
    <t>ORD049</t>
  </si>
  <si>
    <t>2026-06-18</t>
  </si>
  <si>
    <t>ORD050</t>
  </si>
  <si>
    <t>2026-06-19</t>
  </si>
  <si>
    <t>1. Dhaka Region-এর Female Employee-দের Total Sales</t>
  </si>
  <si>
    <t>SUM Questions</t>
  </si>
  <si>
    <t>Result</t>
  </si>
  <si>
    <t>2. Laptop Product-এর Active Order-এর Total Sales</t>
  </si>
  <si>
    <t>3. Sales Department-এর Male Employee-দের Sales Amount 100000-এর বেশি হলে তাদের Total Sales</t>
  </si>
  <si>
    <t>4. Dhaka অথবা Chattogram Region-এর মোট Sales</t>
  </si>
  <si>
    <t>5. Active Status এবং Quantity 10-এর বেশি এমন Order-এর Total Sales</t>
  </si>
  <si>
    <t>COUNT Questions</t>
  </si>
  <si>
    <t>6. Dhaka Region-এ Laptop Product কতবার বিক্রি হয়েছে?</t>
  </si>
  <si>
    <t>7. Female Employee এবং Active Status-এর Order Count</t>
  </si>
  <si>
    <t>8. Sales Amount 50000 থেকে 200000 এর মধ্যে কতটি Order আছে?</t>
  </si>
  <si>
    <t>9. Male Employee-দের Mobile অথবা Laptop Product-এর Order Count</t>
  </si>
  <si>
    <t>10. Sales Department-এর Inactive Order Count</t>
  </si>
  <si>
    <t>AVERAGE Questions</t>
  </si>
  <si>
    <t>11. Dhaka Region-এর Average Sales Amount</t>
  </si>
  <si>
    <t>12. Female Employee-দের Average Sales</t>
  </si>
  <si>
    <t>13. Active Status-এ Laptop Product-এর Average Sales</t>
  </si>
  <si>
    <t>14. Sales Department-এর Male Employee-দের Average Sales</t>
  </si>
  <si>
    <t>15. Quantity 10-এর বেশি এমন Order-এর Average Sales</t>
  </si>
  <si>
    <t>MAX Questions</t>
  </si>
  <si>
    <t>16. Dhaka Region-এর Highest Sales Amount</t>
  </si>
  <si>
    <t>17. Female Employee-দের Highest Sales Amount</t>
  </si>
  <si>
    <t>18. Laptop Product-এর Highest Sales Amount</t>
  </si>
  <si>
    <t>19. Active Status-এর Highest Sales Amount</t>
  </si>
  <si>
    <t>20. Sales Department-এর Highest Sales Amount</t>
  </si>
  <si>
    <t>MIN Questions</t>
  </si>
  <si>
    <t>21. Dhaka Region-এর Lowest Sales Amount</t>
  </si>
  <si>
    <t>22. Female Employee-দের Lowest Sales Amount</t>
  </si>
  <si>
    <t>23. Laptop Product-এর Lowest Sales Amount</t>
  </si>
  <si>
    <t>24. Active Status-এর Lowest Sales Amount</t>
  </si>
  <si>
    <t>25. Sales Department-এর Lowest Sales Amount</t>
  </si>
  <si>
    <t>Wildcard &amp; Pattern Matching Questions</t>
  </si>
  <si>
    <t>26. Product Name "L" দিয়ে শুরু হয়েছে এমন Product-এর Total Sales</t>
  </si>
  <si>
    <t>27. Region Name "D" দিয়ে শুরু হয়েছে এমন Region-এর Order Count</t>
  </si>
  <si>
    <t>28. Product Name-এর শেষে "e" আছে এমন Product-এর Average Sales</t>
  </si>
  <si>
    <t>Calculate the total sales for the Dhaka or Chattogram regions.</t>
  </si>
  <si>
    <t>1. Calculate the total sales of female employees in the Dhaka region.</t>
  </si>
  <si>
    <t>2. Calculate the total sales of active orders for the Laptop product.</t>
  </si>
  <si>
    <t>3. Calculate the total sales of male employees in the Sales department 
whose sales amount is greater than 100,000.</t>
  </si>
  <si>
    <t>5. Calculate the total sales of orders with Active status and a quantity greater than 10.</t>
  </si>
  <si>
    <t>6. How many times was the Laptop product sold in the Dhaka region?</t>
  </si>
  <si>
    <t>7. Count the orders placed by female employees with Active status.</t>
  </si>
  <si>
    <t>8. Count the number of orders with a sales amount between 50,000 and 200,000.</t>
  </si>
  <si>
    <t>9. Count the orders for Mobile or Laptop products made by male employees.</t>
  </si>
  <si>
    <t>10. Count the inactive orders in the Sales department.</t>
  </si>
  <si>
    <t>11. Calculate the average sales amount in the Dhaka region.</t>
  </si>
  <si>
    <t>12. Calculate the average sales of female employees.</t>
  </si>
  <si>
    <t>13. Calculate the average sales of the Laptop product with Active status.</t>
  </si>
  <si>
    <t>14. Calculate the average sales of male employees in the Sales department.</t>
  </si>
  <si>
    <t>15. Calculate the average sales of orders with a quantity greater than 10.</t>
  </si>
  <si>
    <t>16. Find the highest sales amount in the Dhaka region.</t>
  </si>
  <si>
    <t>17. Find the highest sales amount among female employees.</t>
  </si>
  <si>
    <t>18. Find the highest sales amount for the Laptop product.</t>
  </si>
  <si>
    <t>19. Find the highest sales amount among orders with Active status.</t>
  </si>
  <si>
    <t>20. Find the highest sales amount in the Sales department.</t>
  </si>
  <si>
    <t>21. Find the lowest sales amount in the Dhaka region.</t>
  </si>
  <si>
    <t>22. Find the lowest sales amount among female employees.</t>
  </si>
  <si>
    <t>23. Find the lowest sales amount for the Laptop product.</t>
  </si>
  <si>
    <t>24. Find the lowest sales amount among orders with Active status.</t>
  </si>
  <si>
    <t>25. Find the lowest sales amount in the Sales department.</t>
  </si>
  <si>
    <t>26. Calculate the total sales of products whose names start with the letter "L".</t>
  </si>
  <si>
    <t>27. Count the orders from regions whose names start with the letter "D".</t>
  </si>
  <si>
    <t>28. Calculate the average sales of products whose names end with the letter "e".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</si>
</sst>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/>
    <xf numFmtId="164" fontId="2" fillId="0" borderId="0" xfId="1" applyNumberFormat="1" applyFont="1"/>
    <xf numFmtId="164" fontId="0" fillId="0" borderId="0" xfId="1" applyNumberFormat="1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0" fontId="0" fillId="0" borderId="0" xfId="0" applyBorder="1"/>
    <xf numFmtId="164" fontId="0" fillId="0" borderId="1" xfId="1" applyNumberFormat="1" applyFont="1" applyBorder="1" applyAlignment="1">
      <alignment horizontal="center" vertic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11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I51" headerRowDxfId="0" dataDxfId="1">
  <autoFilter ref="A1:I51" xr:uid="{00000000-0009-0000-0100-000001000000}"/>
  <tableColumns count="9">
    <tableColumn id="1" xr3:uid="{00000000-0010-0000-0000-000001000000}" name="Order ID" dataDxfId="10"/>
    <tableColumn id="2" xr3:uid="{00000000-0010-0000-0000-000002000000}" name="Order Date" dataDxfId="9"/>
    <tableColumn id="3" xr3:uid="{00000000-0010-0000-0000-000003000000}" name="Region" dataDxfId="8"/>
    <tableColumn id="4" xr3:uid="{00000000-0010-0000-0000-000004000000}" name="Employee Gender" dataDxfId="7"/>
    <tableColumn id="5" xr3:uid="{00000000-0010-0000-0000-000005000000}" name="Department" dataDxfId="6"/>
    <tableColumn id="6" xr3:uid="{00000000-0010-0000-0000-000006000000}" name="Product Name" dataDxfId="5"/>
    <tableColumn id="7" xr3:uid="{00000000-0010-0000-0000-000007000000}" name="Quantity" dataDxfId="4"/>
    <tableColumn id="8" xr3:uid="{00000000-0010-0000-0000-000008000000}" name="Sales Amount" dataDxfId="3"/>
    <tableColumn id="9" xr3:uid="{00000000-0010-0000-0000-000009000000}" name="Status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zoomScale="55" zoomScaleNormal="55" workbookViewId="0">
      <selection activeCell="N8" sqref="N8"/>
    </sheetView>
  </sheetViews>
  <sheetFormatPr defaultColWidth="17.33203125" defaultRowHeight="14.4" x14ac:dyDescent="0.3"/>
  <cols>
    <col min="1" max="1" width="13.21875" bestFit="1" customWidth="1"/>
    <col min="2" max="2" width="16.109375" bestFit="1" customWidth="1"/>
    <col min="3" max="3" width="14.21875" bestFit="1" customWidth="1"/>
    <col min="4" max="4" width="23.5546875" bestFit="1" customWidth="1"/>
    <col min="5" max="5" width="17.21875" bestFit="1" customWidth="1"/>
    <col min="6" max="6" width="19.5546875" bestFit="1" customWidth="1"/>
    <col min="7" max="7" width="13.44140625" bestFit="1" customWidth="1"/>
    <col min="8" max="8" width="18.88671875" bestFit="1" customWidth="1"/>
    <col min="9" max="9" width="10.5546875" bestFit="1" customWidth="1"/>
  </cols>
  <sheetData>
    <row r="1" spans="1:9" ht="18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18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>
        <v>12</v>
      </c>
      <c r="H2" s="12">
        <v>180000</v>
      </c>
      <c r="I2" s="12" t="s">
        <v>15</v>
      </c>
    </row>
    <row r="3" spans="1:9" ht="18" x14ac:dyDescent="0.35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13</v>
      </c>
      <c r="F3" s="12" t="s">
        <v>20</v>
      </c>
      <c r="G3" s="12">
        <v>8</v>
      </c>
      <c r="H3" s="12">
        <v>95000</v>
      </c>
      <c r="I3" s="12" t="s">
        <v>15</v>
      </c>
    </row>
    <row r="4" spans="1:9" ht="18" x14ac:dyDescent="0.35">
      <c r="A4" s="12" t="s">
        <v>21</v>
      </c>
      <c r="B4" s="12" t="s">
        <v>22</v>
      </c>
      <c r="C4" s="12" t="s">
        <v>23</v>
      </c>
      <c r="D4" s="12" t="s">
        <v>12</v>
      </c>
      <c r="E4" s="12" t="s">
        <v>24</v>
      </c>
      <c r="F4" s="12" t="s">
        <v>25</v>
      </c>
      <c r="G4" s="12">
        <v>5</v>
      </c>
      <c r="H4" s="12">
        <v>120000</v>
      </c>
      <c r="I4" s="12" t="s">
        <v>26</v>
      </c>
    </row>
    <row r="5" spans="1:9" ht="18" x14ac:dyDescent="0.35">
      <c r="A5" s="12" t="s">
        <v>27</v>
      </c>
      <c r="B5" s="12" t="s">
        <v>28</v>
      </c>
      <c r="C5" s="12" t="s">
        <v>11</v>
      </c>
      <c r="D5" s="12" t="s">
        <v>19</v>
      </c>
      <c r="E5" s="12" t="s">
        <v>29</v>
      </c>
      <c r="F5" s="12" t="s">
        <v>14</v>
      </c>
      <c r="G5" s="12">
        <v>15</v>
      </c>
      <c r="H5" s="12">
        <v>210000</v>
      </c>
      <c r="I5" s="12" t="s">
        <v>15</v>
      </c>
    </row>
    <row r="6" spans="1:9" ht="18" x14ac:dyDescent="0.35">
      <c r="A6" s="12" t="s">
        <v>30</v>
      </c>
      <c r="B6" s="12" t="s">
        <v>31</v>
      </c>
      <c r="C6" s="12" t="s">
        <v>32</v>
      </c>
      <c r="D6" s="12" t="s">
        <v>12</v>
      </c>
      <c r="E6" s="12" t="s">
        <v>13</v>
      </c>
      <c r="F6" s="12" t="s">
        <v>20</v>
      </c>
      <c r="G6" s="12">
        <v>20</v>
      </c>
      <c r="H6" s="12">
        <v>140000</v>
      </c>
      <c r="I6" s="12" t="s">
        <v>15</v>
      </c>
    </row>
    <row r="7" spans="1:9" ht="18" x14ac:dyDescent="0.35">
      <c r="A7" s="12" t="s">
        <v>33</v>
      </c>
      <c r="B7" s="12" t="s">
        <v>34</v>
      </c>
      <c r="C7" s="12" t="s">
        <v>18</v>
      </c>
      <c r="D7" s="12" t="s">
        <v>19</v>
      </c>
      <c r="E7" s="12" t="s">
        <v>35</v>
      </c>
      <c r="F7" s="12" t="s">
        <v>36</v>
      </c>
      <c r="G7" s="12">
        <v>25</v>
      </c>
      <c r="H7" s="12">
        <v>60000</v>
      </c>
      <c r="I7" s="12" t="s">
        <v>26</v>
      </c>
    </row>
    <row r="8" spans="1:9" ht="18" x14ac:dyDescent="0.35">
      <c r="A8" s="12" t="s">
        <v>37</v>
      </c>
      <c r="B8" s="12" t="s">
        <v>38</v>
      </c>
      <c r="C8" s="12" t="s">
        <v>11</v>
      </c>
      <c r="D8" s="12" t="s">
        <v>12</v>
      </c>
      <c r="E8" s="12" t="s">
        <v>13</v>
      </c>
      <c r="F8" s="12" t="s">
        <v>25</v>
      </c>
      <c r="G8" s="12">
        <v>3</v>
      </c>
      <c r="H8" s="12">
        <v>175000</v>
      </c>
      <c r="I8" s="12" t="s">
        <v>15</v>
      </c>
    </row>
    <row r="9" spans="1:9" ht="18" x14ac:dyDescent="0.35">
      <c r="A9" s="12" t="s">
        <v>39</v>
      </c>
      <c r="B9" s="12" t="s">
        <v>40</v>
      </c>
      <c r="C9" s="12" t="s">
        <v>41</v>
      </c>
      <c r="D9" s="12" t="s">
        <v>19</v>
      </c>
      <c r="E9" s="12" t="s">
        <v>24</v>
      </c>
      <c r="F9" s="12" t="s">
        <v>14</v>
      </c>
      <c r="G9" s="12">
        <v>10</v>
      </c>
      <c r="H9" s="12">
        <v>110000</v>
      </c>
      <c r="I9" s="12" t="s">
        <v>26</v>
      </c>
    </row>
    <row r="10" spans="1:9" ht="18" x14ac:dyDescent="0.35">
      <c r="A10" s="12" t="s">
        <v>42</v>
      </c>
      <c r="B10" s="12" t="s">
        <v>43</v>
      </c>
      <c r="C10" s="12" t="s">
        <v>44</v>
      </c>
      <c r="D10" s="12" t="s">
        <v>12</v>
      </c>
      <c r="E10" s="12" t="s">
        <v>29</v>
      </c>
      <c r="F10" s="12" t="s">
        <v>20</v>
      </c>
      <c r="G10" s="12">
        <v>14</v>
      </c>
      <c r="H10" s="12">
        <v>98000</v>
      </c>
      <c r="I10" s="12" t="s">
        <v>15</v>
      </c>
    </row>
    <row r="11" spans="1:9" ht="18" x14ac:dyDescent="0.35">
      <c r="A11" s="12" t="s">
        <v>45</v>
      </c>
      <c r="B11" s="12" t="s">
        <v>46</v>
      </c>
      <c r="C11" s="12" t="s">
        <v>11</v>
      </c>
      <c r="D11" s="12" t="s">
        <v>19</v>
      </c>
      <c r="E11" s="12" t="s">
        <v>13</v>
      </c>
      <c r="F11" s="12" t="s">
        <v>14</v>
      </c>
      <c r="G11" s="12">
        <v>7</v>
      </c>
      <c r="H11" s="12">
        <v>130000</v>
      </c>
      <c r="I11" s="12" t="s">
        <v>26</v>
      </c>
    </row>
    <row r="12" spans="1:9" ht="18" x14ac:dyDescent="0.35">
      <c r="A12" s="12" t="s">
        <v>47</v>
      </c>
      <c r="B12" s="12" t="s">
        <v>48</v>
      </c>
      <c r="C12" s="12" t="s">
        <v>49</v>
      </c>
      <c r="D12" s="12" t="s">
        <v>12</v>
      </c>
      <c r="E12" s="12" t="s">
        <v>35</v>
      </c>
      <c r="F12" s="12" t="s">
        <v>25</v>
      </c>
      <c r="G12" s="12">
        <v>9</v>
      </c>
      <c r="H12" s="12">
        <v>85000</v>
      </c>
      <c r="I12" s="12" t="s">
        <v>15</v>
      </c>
    </row>
    <row r="13" spans="1:9" ht="18" x14ac:dyDescent="0.35">
      <c r="A13" s="12" t="s">
        <v>50</v>
      </c>
      <c r="B13" s="12" t="s">
        <v>51</v>
      </c>
      <c r="C13" s="12" t="s">
        <v>18</v>
      </c>
      <c r="D13" s="12" t="s">
        <v>12</v>
      </c>
      <c r="E13" s="12" t="s">
        <v>13</v>
      </c>
      <c r="F13" s="12" t="s">
        <v>14</v>
      </c>
      <c r="G13" s="12">
        <v>11</v>
      </c>
      <c r="H13" s="12">
        <v>220000</v>
      </c>
      <c r="I13" s="12" t="s">
        <v>15</v>
      </c>
    </row>
    <row r="14" spans="1:9" ht="18" x14ac:dyDescent="0.35">
      <c r="A14" s="12" t="s">
        <v>52</v>
      </c>
      <c r="B14" s="12" t="s">
        <v>53</v>
      </c>
      <c r="C14" s="12" t="s">
        <v>11</v>
      </c>
      <c r="D14" s="12" t="s">
        <v>19</v>
      </c>
      <c r="E14" s="12" t="s">
        <v>13</v>
      </c>
      <c r="F14" s="12" t="s">
        <v>20</v>
      </c>
      <c r="G14" s="12">
        <v>16</v>
      </c>
      <c r="H14" s="12">
        <v>160000</v>
      </c>
      <c r="I14" s="12" t="s">
        <v>15</v>
      </c>
    </row>
    <row r="15" spans="1:9" ht="18" x14ac:dyDescent="0.35">
      <c r="A15" s="12" t="s">
        <v>54</v>
      </c>
      <c r="B15" s="12" t="s">
        <v>55</v>
      </c>
      <c r="C15" s="12" t="s">
        <v>23</v>
      </c>
      <c r="D15" s="12" t="s">
        <v>12</v>
      </c>
      <c r="E15" s="12" t="s">
        <v>29</v>
      </c>
      <c r="F15" s="12" t="s">
        <v>56</v>
      </c>
      <c r="G15" s="12">
        <v>22</v>
      </c>
      <c r="H15" s="12">
        <v>70000</v>
      </c>
      <c r="I15" s="12" t="s">
        <v>26</v>
      </c>
    </row>
    <row r="16" spans="1:9" ht="18" x14ac:dyDescent="0.35">
      <c r="A16" s="12" t="s">
        <v>57</v>
      </c>
      <c r="B16" s="12" t="s">
        <v>58</v>
      </c>
      <c r="C16" s="12" t="s">
        <v>11</v>
      </c>
      <c r="D16" s="12" t="s">
        <v>12</v>
      </c>
      <c r="E16" s="12" t="s">
        <v>13</v>
      </c>
      <c r="F16" s="12" t="s">
        <v>14</v>
      </c>
      <c r="G16" s="12">
        <v>18</v>
      </c>
      <c r="H16" s="12">
        <v>250000</v>
      </c>
      <c r="I16" s="12" t="s">
        <v>15</v>
      </c>
    </row>
    <row r="17" spans="1:9" ht="18" x14ac:dyDescent="0.35">
      <c r="A17" s="12" t="s">
        <v>59</v>
      </c>
      <c r="B17" s="12" t="s">
        <v>60</v>
      </c>
      <c r="C17" s="12" t="s">
        <v>61</v>
      </c>
      <c r="D17" s="12" t="s">
        <v>19</v>
      </c>
      <c r="E17" s="12" t="s">
        <v>24</v>
      </c>
      <c r="F17" s="12" t="s">
        <v>20</v>
      </c>
      <c r="G17" s="12">
        <v>5</v>
      </c>
      <c r="H17" s="12">
        <v>55000</v>
      </c>
      <c r="I17" s="12" t="s">
        <v>15</v>
      </c>
    </row>
    <row r="18" spans="1:9" ht="18" x14ac:dyDescent="0.35">
      <c r="A18" s="12" t="s">
        <v>62</v>
      </c>
      <c r="B18" s="12" t="s">
        <v>63</v>
      </c>
      <c r="C18" s="12" t="s">
        <v>11</v>
      </c>
      <c r="D18" s="12" t="s">
        <v>12</v>
      </c>
      <c r="E18" s="12" t="s">
        <v>35</v>
      </c>
      <c r="F18" s="12" t="s">
        <v>25</v>
      </c>
      <c r="G18" s="12">
        <v>13</v>
      </c>
      <c r="H18" s="12">
        <v>190000</v>
      </c>
      <c r="I18" s="12" t="s">
        <v>26</v>
      </c>
    </row>
    <row r="19" spans="1:9" ht="18" x14ac:dyDescent="0.35">
      <c r="A19" s="12" t="s">
        <v>64</v>
      </c>
      <c r="B19" s="12" t="s">
        <v>65</v>
      </c>
      <c r="C19" s="12" t="s">
        <v>18</v>
      </c>
      <c r="D19" s="12" t="s">
        <v>19</v>
      </c>
      <c r="E19" s="12" t="s">
        <v>13</v>
      </c>
      <c r="F19" s="12" t="s">
        <v>14</v>
      </c>
      <c r="G19" s="12">
        <v>9</v>
      </c>
      <c r="H19" s="12">
        <v>145000</v>
      </c>
      <c r="I19" s="12" t="s">
        <v>15</v>
      </c>
    </row>
    <row r="20" spans="1:9" ht="18" x14ac:dyDescent="0.35">
      <c r="A20" s="12" t="s">
        <v>66</v>
      </c>
      <c r="B20" s="12" t="s">
        <v>67</v>
      </c>
      <c r="C20" s="12" t="s">
        <v>32</v>
      </c>
      <c r="D20" s="12" t="s">
        <v>12</v>
      </c>
      <c r="E20" s="12" t="s">
        <v>13</v>
      </c>
      <c r="F20" s="12" t="s">
        <v>20</v>
      </c>
      <c r="G20" s="12">
        <v>17</v>
      </c>
      <c r="H20" s="12">
        <v>170000</v>
      </c>
      <c r="I20" s="12" t="s">
        <v>15</v>
      </c>
    </row>
    <row r="21" spans="1:9" ht="18" x14ac:dyDescent="0.35">
      <c r="A21" s="12" t="s">
        <v>68</v>
      </c>
      <c r="B21" s="12" t="s">
        <v>69</v>
      </c>
      <c r="C21" s="12" t="s">
        <v>11</v>
      </c>
      <c r="D21" s="12" t="s">
        <v>19</v>
      </c>
      <c r="E21" s="12" t="s">
        <v>13</v>
      </c>
      <c r="F21" s="12" t="s">
        <v>14</v>
      </c>
      <c r="G21" s="12">
        <v>6</v>
      </c>
      <c r="H21" s="12">
        <v>90000</v>
      </c>
      <c r="I21" s="12" t="s">
        <v>26</v>
      </c>
    </row>
    <row r="22" spans="1:9" ht="18" x14ac:dyDescent="0.35">
      <c r="A22" s="12" t="s">
        <v>70</v>
      </c>
      <c r="B22" s="12" t="s">
        <v>71</v>
      </c>
      <c r="C22" s="12" t="s">
        <v>41</v>
      </c>
      <c r="D22" s="12" t="s">
        <v>12</v>
      </c>
      <c r="E22" s="12" t="s">
        <v>29</v>
      </c>
      <c r="F22" s="12" t="s">
        <v>25</v>
      </c>
      <c r="G22" s="12">
        <v>12</v>
      </c>
      <c r="H22" s="12">
        <v>200000</v>
      </c>
      <c r="I22" s="12" t="s">
        <v>15</v>
      </c>
    </row>
    <row r="23" spans="1:9" ht="18" x14ac:dyDescent="0.35">
      <c r="A23" s="12" t="s">
        <v>72</v>
      </c>
      <c r="B23" s="12" t="s">
        <v>73</v>
      </c>
      <c r="C23" s="12" t="s">
        <v>11</v>
      </c>
      <c r="D23" s="12" t="s">
        <v>12</v>
      </c>
      <c r="E23" s="12" t="s">
        <v>13</v>
      </c>
      <c r="F23" s="12" t="s">
        <v>20</v>
      </c>
      <c r="G23" s="12">
        <v>21</v>
      </c>
      <c r="H23" s="12">
        <v>240000</v>
      </c>
      <c r="I23" s="12" t="s">
        <v>15</v>
      </c>
    </row>
    <row r="24" spans="1:9" ht="18" x14ac:dyDescent="0.35">
      <c r="A24" s="12" t="s">
        <v>74</v>
      </c>
      <c r="B24" s="12" t="s">
        <v>75</v>
      </c>
      <c r="C24" s="12" t="s">
        <v>18</v>
      </c>
      <c r="D24" s="12" t="s">
        <v>19</v>
      </c>
      <c r="E24" s="12" t="s">
        <v>35</v>
      </c>
      <c r="F24" s="12" t="s">
        <v>14</v>
      </c>
      <c r="G24" s="12">
        <v>10</v>
      </c>
      <c r="H24" s="12">
        <v>115000</v>
      </c>
      <c r="I24" s="12" t="s">
        <v>26</v>
      </c>
    </row>
    <row r="25" spans="1:9" ht="18" x14ac:dyDescent="0.35">
      <c r="A25" s="12" t="s">
        <v>76</v>
      </c>
      <c r="B25" s="12" t="s">
        <v>77</v>
      </c>
      <c r="C25" s="12" t="s">
        <v>44</v>
      </c>
      <c r="D25" s="12" t="s">
        <v>12</v>
      </c>
      <c r="E25" s="12" t="s">
        <v>13</v>
      </c>
      <c r="F25" s="12" t="s">
        <v>25</v>
      </c>
      <c r="G25" s="12">
        <v>8</v>
      </c>
      <c r="H25" s="12">
        <v>125000</v>
      </c>
      <c r="I25" s="12" t="s">
        <v>15</v>
      </c>
    </row>
    <row r="26" spans="1:9" ht="18" x14ac:dyDescent="0.35">
      <c r="A26" s="12" t="s">
        <v>78</v>
      </c>
      <c r="B26" s="12" t="s">
        <v>79</v>
      </c>
      <c r="C26" s="12" t="s">
        <v>11</v>
      </c>
      <c r="D26" s="12" t="s">
        <v>19</v>
      </c>
      <c r="E26" s="12" t="s">
        <v>24</v>
      </c>
      <c r="F26" s="12" t="s">
        <v>14</v>
      </c>
      <c r="G26" s="12">
        <v>19</v>
      </c>
      <c r="H26" s="12">
        <v>260000</v>
      </c>
      <c r="I26" s="12" t="s">
        <v>15</v>
      </c>
    </row>
    <row r="27" spans="1:9" ht="18" x14ac:dyDescent="0.35">
      <c r="A27" s="12" t="s">
        <v>80</v>
      </c>
      <c r="B27" s="12" t="s">
        <v>81</v>
      </c>
      <c r="C27" s="12" t="s">
        <v>23</v>
      </c>
      <c r="D27" s="12" t="s">
        <v>12</v>
      </c>
      <c r="E27" s="12" t="s">
        <v>13</v>
      </c>
      <c r="F27" s="12" t="s">
        <v>20</v>
      </c>
      <c r="G27" s="12">
        <v>15</v>
      </c>
      <c r="H27" s="12">
        <v>155000</v>
      </c>
      <c r="I27" s="12" t="s">
        <v>26</v>
      </c>
    </row>
    <row r="28" spans="1:9" ht="18" x14ac:dyDescent="0.35">
      <c r="A28" s="12" t="s">
        <v>82</v>
      </c>
      <c r="B28" s="12" t="s">
        <v>83</v>
      </c>
      <c r="C28" s="12" t="s">
        <v>11</v>
      </c>
      <c r="D28" s="12" t="s">
        <v>12</v>
      </c>
      <c r="E28" s="12" t="s">
        <v>13</v>
      </c>
      <c r="F28" s="12" t="s">
        <v>14</v>
      </c>
      <c r="G28" s="12">
        <v>11</v>
      </c>
      <c r="H28" s="12">
        <v>205000</v>
      </c>
      <c r="I28" s="12" t="s">
        <v>15</v>
      </c>
    </row>
    <row r="29" spans="1:9" ht="18" x14ac:dyDescent="0.35">
      <c r="A29" s="12" t="s">
        <v>84</v>
      </c>
      <c r="B29" s="12" t="s">
        <v>85</v>
      </c>
      <c r="C29" s="12" t="s">
        <v>18</v>
      </c>
      <c r="D29" s="12" t="s">
        <v>19</v>
      </c>
      <c r="E29" s="12" t="s">
        <v>29</v>
      </c>
      <c r="F29" s="12" t="s">
        <v>25</v>
      </c>
      <c r="G29" s="12">
        <v>4</v>
      </c>
      <c r="H29" s="12">
        <v>80000</v>
      </c>
      <c r="I29" s="12" t="s">
        <v>15</v>
      </c>
    </row>
    <row r="30" spans="1:9" ht="18" x14ac:dyDescent="0.35">
      <c r="A30" s="12" t="s">
        <v>86</v>
      </c>
      <c r="B30" s="12" t="s">
        <v>87</v>
      </c>
      <c r="C30" s="12" t="s">
        <v>49</v>
      </c>
      <c r="D30" s="12" t="s">
        <v>12</v>
      </c>
      <c r="E30" s="12" t="s">
        <v>13</v>
      </c>
      <c r="F30" s="12" t="s">
        <v>20</v>
      </c>
      <c r="G30" s="12">
        <v>23</v>
      </c>
      <c r="H30" s="12">
        <v>175000</v>
      </c>
      <c r="I30" s="12" t="s">
        <v>15</v>
      </c>
    </row>
    <row r="31" spans="1:9" ht="18" x14ac:dyDescent="0.35">
      <c r="A31" s="12" t="s">
        <v>88</v>
      </c>
      <c r="B31" s="12" t="s">
        <v>89</v>
      </c>
      <c r="C31" s="12" t="s">
        <v>11</v>
      </c>
      <c r="D31" s="12" t="s">
        <v>19</v>
      </c>
      <c r="E31" s="12" t="s">
        <v>13</v>
      </c>
      <c r="F31" s="12" t="s">
        <v>14</v>
      </c>
      <c r="G31" s="12">
        <v>14</v>
      </c>
      <c r="H31" s="12">
        <v>230000</v>
      </c>
      <c r="I31" s="12" t="s">
        <v>26</v>
      </c>
    </row>
    <row r="32" spans="1:9" ht="18" x14ac:dyDescent="0.35">
      <c r="A32" s="12" t="s">
        <v>90</v>
      </c>
      <c r="B32" s="12" t="s">
        <v>91</v>
      </c>
      <c r="C32" s="12" t="s">
        <v>11</v>
      </c>
      <c r="D32" s="12" t="s">
        <v>12</v>
      </c>
      <c r="E32" s="12" t="s">
        <v>35</v>
      </c>
      <c r="F32" s="12" t="s">
        <v>25</v>
      </c>
      <c r="G32" s="12">
        <v>7</v>
      </c>
      <c r="H32" s="12">
        <v>95000</v>
      </c>
      <c r="I32" s="12" t="s">
        <v>15</v>
      </c>
    </row>
    <row r="33" spans="1:9" ht="18" x14ac:dyDescent="0.35">
      <c r="A33" s="12" t="s">
        <v>92</v>
      </c>
      <c r="B33" s="12" t="s">
        <v>93</v>
      </c>
      <c r="C33" s="12" t="s">
        <v>61</v>
      </c>
      <c r="D33" s="12" t="s">
        <v>19</v>
      </c>
      <c r="E33" s="12" t="s">
        <v>13</v>
      </c>
      <c r="F33" s="12" t="s">
        <v>20</v>
      </c>
      <c r="G33" s="12">
        <v>18</v>
      </c>
      <c r="H33" s="12">
        <v>165000</v>
      </c>
      <c r="I33" s="12" t="s">
        <v>15</v>
      </c>
    </row>
    <row r="34" spans="1:9" ht="18" x14ac:dyDescent="0.35">
      <c r="A34" s="12" t="s">
        <v>94</v>
      </c>
      <c r="B34" s="12" t="s">
        <v>95</v>
      </c>
      <c r="C34" s="12" t="s">
        <v>11</v>
      </c>
      <c r="D34" s="12" t="s">
        <v>12</v>
      </c>
      <c r="E34" s="12" t="s">
        <v>13</v>
      </c>
      <c r="F34" s="12" t="s">
        <v>14</v>
      </c>
      <c r="G34" s="12">
        <v>9</v>
      </c>
      <c r="H34" s="12">
        <v>185000</v>
      </c>
      <c r="I34" s="12" t="s">
        <v>15</v>
      </c>
    </row>
    <row r="35" spans="1:9" ht="18" x14ac:dyDescent="0.35">
      <c r="A35" s="12" t="s">
        <v>96</v>
      </c>
      <c r="B35" s="12" t="s">
        <v>97</v>
      </c>
      <c r="C35" s="12" t="s">
        <v>41</v>
      </c>
      <c r="D35" s="12" t="s">
        <v>19</v>
      </c>
      <c r="E35" s="12" t="s">
        <v>29</v>
      </c>
      <c r="F35" s="12" t="s">
        <v>56</v>
      </c>
      <c r="G35" s="12">
        <v>30</v>
      </c>
      <c r="H35" s="12">
        <v>50000</v>
      </c>
      <c r="I35" s="12" t="s">
        <v>26</v>
      </c>
    </row>
    <row r="36" spans="1:9" ht="18" x14ac:dyDescent="0.35">
      <c r="A36" s="12" t="s">
        <v>98</v>
      </c>
      <c r="B36" s="12" t="s">
        <v>99</v>
      </c>
      <c r="C36" s="12" t="s">
        <v>18</v>
      </c>
      <c r="D36" s="12" t="s">
        <v>12</v>
      </c>
      <c r="E36" s="12" t="s">
        <v>13</v>
      </c>
      <c r="F36" s="12" t="s">
        <v>25</v>
      </c>
      <c r="G36" s="12">
        <v>12</v>
      </c>
      <c r="H36" s="12">
        <v>210000</v>
      </c>
      <c r="I36" s="12" t="s">
        <v>15</v>
      </c>
    </row>
    <row r="37" spans="1:9" ht="18" x14ac:dyDescent="0.35">
      <c r="A37" s="12" t="s">
        <v>100</v>
      </c>
      <c r="B37" s="12" t="s">
        <v>101</v>
      </c>
      <c r="C37" s="12" t="s">
        <v>11</v>
      </c>
      <c r="D37" s="12" t="s">
        <v>19</v>
      </c>
      <c r="E37" s="12" t="s">
        <v>13</v>
      </c>
      <c r="F37" s="12" t="s">
        <v>14</v>
      </c>
      <c r="G37" s="12">
        <v>20</v>
      </c>
      <c r="H37" s="12">
        <v>280000</v>
      </c>
      <c r="I37" s="12" t="s">
        <v>15</v>
      </c>
    </row>
    <row r="38" spans="1:9" ht="18" x14ac:dyDescent="0.35">
      <c r="A38" s="12" t="s">
        <v>102</v>
      </c>
      <c r="B38" s="12" t="s">
        <v>103</v>
      </c>
      <c r="C38" s="12" t="s">
        <v>23</v>
      </c>
      <c r="D38" s="12" t="s">
        <v>12</v>
      </c>
      <c r="E38" s="12" t="s">
        <v>24</v>
      </c>
      <c r="F38" s="12" t="s">
        <v>20</v>
      </c>
      <c r="G38" s="12">
        <v>13</v>
      </c>
      <c r="H38" s="12">
        <v>135000</v>
      </c>
      <c r="I38" s="12" t="s">
        <v>15</v>
      </c>
    </row>
    <row r="39" spans="1:9" ht="18" x14ac:dyDescent="0.35">
      <c r="A39" s="12" t="s">
        <v>104</v>
      </c>
      <c r="B39" s="12" t="s">
        <v>105</v>
      </c>
      <c r="C39" s="12" t="s">
        <v>11</v>
      </c>
      <c r="D39" s="12" t="s">
        <v>12</v>
      </c>
      <c r="E39" s="12" t="s">
        <v>13</v>
      </c>
      <c r="F39" s="12" t="s">
        <v>14</v>
      </c>
      <c r="G39" s="12">
        <v>16</v>
      </c>
      <c r="H39" s="12">
        <v>225000</v>
      </c>
      <c r="I39" s="12" t="s">
        <v>26</v>
      </c>
    </row>
    <row r="40" spans="1:9" ht="18" x14ac:dyDescent="0.35">
      <c r="A40" s="12" t="s">
        <v>106</v>
      </c>
      <c r="B40" s="12" t="s">
        <v>107</v>
      </c>
      <c r="C40" s="12" t="s">
        <v>44</v>
      </c>
      <c r="D40" s="12" t="s">
        <v>19</v>
      </c>
      <c r="E40" s="12" t="s">
        <v>35</v>
      </c>
      <c r="F40" s="12" t="s">
        <v>25</v>
      </c>
      <c r="G40" s="12">
        <v>5</v>
      </c>
      <c r="H40" s="12">
        <v>105000</v>
      </c>
      <c r="I40" s="12" t="s">
        <v>15</v>
      </c>
    </row>
    <row r="41" spans="1:9" ht="18" x14ac:dyDescent="0.35">
      <c r="A41" s="12" t="s">
        <v>108</v>
      </c>
      <c r="B41" s="12" t="s">
        <v>109</v>
      </c>
      <c r="C41" s="12" t="s">
        <v>11</v>
      </c>
      <c r="D41" s="12" t="s">
        <v>12</v>
      </c>
      <c r="E41" s="12" t="s">
        <v>13</v>
      </c>
      <c r="F41" s="12" t="s">
        <v>20</v>
      </c>
      <c r="G41" s="12">
        <v>22</v>
      </c>
      <c r="H41" s="12">
        <v>245000</v>
      </c>
      <c r="I41" s="12" t="s">
        <v>15</v>
      </c>
    </row>
    <row r="42" spans="1:9" ht="18" x14ac:dyDescent="0.35">
      <c r="A42" s="12" t="s">
        <v>110</v>
      </c>
      <c r="B42" s="12" t="s">
        <v>111</v>
      </c>
      <c r="C42" s="12" t="s">
        <v>18</v>
      </c>
      <c r="D42" s="12" t="s">
        <v>19</v>
      </c>
      <c r="E42" s="12" t="s">
        <v>13</v>
      </c>
      <c r="F42" s="12" t="s">
        <v>14</v>
      </c>
      <c r="G42" s="12">
        <v>8</v>
      </c>
      <c r="H42" s="12">
        <v>118000</v>
      </c>
      <c r="I42" s="12" t="s">
        <v>26</v>
      </c>
    </row>
    <row r="43" spans="1:9" ht="18" x14ac:dyDescent="0.35">
      <c r="A43" s="12" t="s">
        <v>112</v>
      </c>
      <c r="B43" s="12" t="s">
        <v>113</v>
      </c>
      <c r="C43" s="12" t="s">
        <v>32</v>
      </c>
      <c r="D43" s="12" t="s">
        <v>12</v>
      </c>
      <c r="E43" s="12" t="s">
        <v>29</v>
      </c>
      <c r="F43" s="12" t="s">
        <v>25</v>
      </c>
      <c r="G43" s="12">
        <v>14</v>
      </c>
      <c r="H43" s="12">
        <v>195000</v>
      </c>
      <c r="I43" s="12" t="s">
        <v>15</v>
      </c>
    </row>
    <row r="44" spans="1:9" ht="18" x14ac:dyDescent="0.35">
      <c r="A44" s="12" t="s">
        <v>114</v>
      </c>
      <c r="B44" s="12" t="s">
        <v>115</v>
      </c>
      <c r="C44" s="12" t="s">
        <v>11</v>
      </c>
      <c r="D44" s="12" t="s">
        <v>19</v>
      </c>
      <c r="E44" s="12" t="s">
        <v>13</v>
      </c>
      <c r="F44" s="12" t="s">
        <v>20</v>
      </c>
      <c r="G44" s="12">
        <v>10</v>
      </c>
      <c r="H44" s="12">
        <v>125000</v>
      </c>
      <c r="I44" s="12" t="s">
        <v>15</v>
      </c>
    </row>
    <row r="45" spans="1:9" ht="18" x14ac:dyDescent="0.35">
      <c r="A45" s="12" t="s">
        <v>116</v>
      </c>
      <c r="B45" s="12" t="s">
        <v>117</v>
      </c>
      <c r="C45" s="12" t="s">
        <v>41</v>
      </c>
      <c r="D45" s="12" t="s">
        <v>12</v>
      </c>
      <c r="E45" s="12" t="s">
        <v>13</v>
      </c>
      <c r="F45" s="12" t="s">
        <v>14</v>
      </c>
      <c r="G45" s="12">
        <v>17</v>
      </c>
      <c r="H45" s="12">
        <v>235000</v>
      </c>
      <c r="I45" s="12" t="s">
        <v>15</v>
      </c>
    </row>
    <row r="46" spans="1:9" ht="18" x14ac:dyDescent="0.35">
      <c r="A46" s="12" t="s">
        <v>118</v>
      </c>
      <c r="B46" s="12" t="s">
        <v>119</v>
      </c>
      <c r="C46" s="12" t="s">
        <v>11</v>
      </c>
      <c r="D46" s="12" t="s">
        <v>12</v>
      </c>
      <c r="E46" s="12" t="s">
        <v>24</v>
      </c>
      <c r="F46" s="12" t="s">
        <v>25</v>
      </c>
      <c r="G46" s="12">
        <v>6</v>
      </c>
      <c r="H46" s="12">
        <v>98000</v>
      </c>
      <c r="I46" s="12" t="s">
        <v>26</v>
      </c>
    </row>
    <row r="47" spans="1:9" ht="18" x14ac:dyDescent="0.35">
      <c r="A47" s="12" t="s">
        <v>120</v>
      </c>
      <c r="B47" s="12" t="s">
        <v>121</v>
      </c>
      <c r="C47" s="12" t="s">
        <v>18</v>
      </c>
      <c r="D47" s="12" t="s">
        <v>19</v>
      </c>
      <c r="E47" s="12" t="s">
        <v>13</v>
      </c>
      <c r="F47" s="12" t="s">
        <v>20</v>
      </c>
      <c r="G47" s="12">
        <v>24</v>
      </c>
      <c r="H47" s="12">
        <v>215000</v>
      </c>
      <c r="I47" s="12" t="s">
        <v>15</v>
      </c>
    </row>
    <row r="48" spans="1:9" ht="18" x14ac:dyDescent="0.35">
      <c r="A48" s="12" t="s">
        <v>122</v>
      </c>
      <c r="B48" s="12" t="s">
        <v>123</v>
      </c>
      <c r="C48" s="12" t="s">
        <v>11</v>
      </c>
      <c r="D48" s="12" t="s">
        <v>12</v>
      </c>
      <c r="E48" s="12" t="s">
        <v>13</v>
      </c>
      <c r="F48" s="12" t="s">
        <v>14</v>
      </c>
      <c r="G48" s="12">
        <v>15</v>
      </c>
      <c r="H48" s="12">
        <v>255000</v>
      </c>
      <c r="I48" s="12" t="s">
        <v>15</v>
      </c>
    </row>
    <row r="49" spans="1:9" ht="18" x14ac:dyDescent="0.35">
      <c r="A49" s="12" t="s">
        <v>124</v>
      </c>
      <c r="B49" s="12" t="s">
        <v>125</v>
      </c>
      <c r="C49" s="12" t="s">
        <v>23</v>
      </c>
      <c r="D49" s="12" t="s">
        <v>19</v>
      </c>
      <c r="E49" s="12" t="s">
        <v>29</v>
      </c>
      <c r="F49" s="12" t="s">
        <v>25</v>
      </c>
      <c r="G49" s="12">
        <v>11</v>
      </c>
      <c r="H49" s="12">
        <v>145000</v>
      </c>
      <c r="I49" s="12" t="s">
        <v>26</v>
      </c>
    </row>
    <row r="50" spans="1:9" ht="18" x14ac:dyDescent="0.35">
      <c r="A50" s="12" t="s">
        <v>126</v>
      </c>
      <c r="B50" s="12" t="s">
        <v>127</v>
      </c>
      <c r="C50" s="12" t="s">
        <v>11</v>
      </c>
      <c r="D50" s="12" t="s">
        <v>12</v>
      </c>
      <c r="E50" s="12" t="s">
        <v>13</v>
      </c>
      <c r="F50" s="12" t="s">
        <v>20</v>
      </c>
      <c r="G50" s="12">
        <v>19</v>
      </c>
      <c r="H50" s="12">
        <v>265000</v>
      </c>
      <c r="I50" s="12" t="s">
        <v>15</v>
      </c>
    </row>
    <row r="51" spans="1:9" ht="18" x14ac:dyDescent="0.35">
      <c r="A51" s="12" t="s">
        <v>128</v>
      </c>
      <c r="B51" s="12" t="s">
        <v>129</v>
      </c>
      <c r="C51" s="12" t="s">
        <v>18</v>
      </c>
      <c r="D51" s="12" t="s">
        <v>12</v>
      </c>
      <c r="E51" s="12" t="s">
        <v>13</v>
      </c>
      <c r="F51" s="12" t="s">
        <v>14</v>
      </c>
      <c r="G51" s="12">
        <v>12</v>
      </c>
      <c r="H51" s="12">
        <v>275000</v>
      </c>
      <c r="I51" s="1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9298-A070-4576-92E9-E7074EDFEC23}">
  <dimension ref="A1:B50"/>
  <sheetViews>
    <sheetView workbookViewId="0">
      <selection activeCell="A3" sqref="A3"/>
    </sheetView>
  </sheetViews>
  <sheetFormatPr defaultRowHeight="14.4" x14ac:dyDescent="0.3"/>
  <cols>
    <col min="1" max="1" width="95.5546875" bestFit="1" customWidth="1"/>
    <col min="2" max="2" width="17.33203125" customWidth="1"/>
  </cols>
  <sheetData>
    <row r="1" spans="1:2" ht="18" x14ac:dyDescent="0.35">
      <c r="A1" s="3" t="s">
        <v>131</v>
      </c>
      <c r="B1" s="2" t="s">
        <v>132</v>
      </c>
    </row>
    <row r="3" spans="1:2" ht="15.6" x14ac:dyDescent="0.3">
      <c r="A3" s="1" t="s">
        <v>130</v>
      </c>
      <c r="B3" s="4">
        <f>SUMIFS(Table[Sales Amount],Table[Region],"Dhaka",Table[Employee Gender],"Female")</f>
        <v>2608000</v>
      </c>
    </row>
    <row r="4" spans="1:2" ht="15.6" x14ac:dyDescent="0.3">
      <c r="A4" s="1" t="s">
        <v>133</v>
      </c>
      <c r="B4" s="4">
        <f>SUMIFS(Table[Sales Amount],Table[Product Name],"Laptop",Table[Status],"Active")</f>
        <v>2700000</v>
      </c>
    </row>
    <row r="5" spans="1:2" ht="15.6" x14ac:dyDescent="0.3">
      <c r="A5" s="1" t="s">
        <v>134</v>
      </c>
      <c r="B5" s="4">
        <f>SUMIFS(Table[Sales Amount],Table[Department],"Sales",Table[Employee Gender],"Male",Table[Sales Amount],"&gt;100000")</f>
        <v>1568000</v>
      </c>
    </row>
    <row r="6" spans="1:2" ht="15.6" x14ac:dyDescent="0.3">
      <c r="A6" s="1" t="s">
        <v>135</v>
      </c>
      <c r="B6" s="4">
        <f>SUMIF(Table[Region],"Dhaka",Table[Sales Amount])+SUMIF(Table[Region],"Chattogram",SalesData!H:H)</f>
        <v>5791000</v>
      </c>
    </row>
    <row r="7" spans="1:2" ht="15.6" x14ac:dyDescent="0.3">
      <c r="A7" s="1" t="s">
        <v>136</v>
      </c>
      <c r="B7" s="4">
        <f>SUMIFS(Table[Sales Amount],Table[Status],"Active",Table[Quantity],"&gt;10")</f>
        <v>4983000</v>
      </c>
    </row>
    <row r="10" spans="1:2" ht="18" x14ac:dyDescent="0.35">
      <c r="A10" s="3" t="s">
        <v>137</v>
      </c>
      <c r="B10" s="2" t="s">
        <v>132</v>
      </c>
    </row>
    <row r="12" spans="1:2" ht="15.6" x14ac:dyDescent="0.3">
      <c r="A12" s="1" t="s">
        <v>138</v>
      </c>
      <c r="B12">
        <f>COUNTIFS(Table[Region],"Dhaka",Table[Product Name],"Laptop")</f>
        <v>12</v>
      </c>
    </row>
    <row r="13" spans="1:2" ht="15.6" x14ac:dyDescent="0.3">
      <c r="A13" s="1" t="s">
        <v>139</v>
      </c>
      <c r="B13">
        <f>COUNTIFS(Table[Employee Gender],"Female",Table[Status],"Active")</f>
        <v>23</v>
      </c>
    </row>
    <row r="14" spans="1:2" ht="15.6" x14ac:dyDescent="0.3">
      <c r="A14" s="1" t="s">
        <v>140</v>
      </c>
      <c r="B14">
        <f>COUNTIFS(Table[Sales Amount],"&gt;50000",Table[Sales Amount],"&lt;200000")</f>
        <v>32</v>
      </c>
    </row>
    <row r="15" spans="1:2" ht="15.6" x14ac:dyDescent="0.3">
      <c r="A15" s="1" t="s">
        <v>141</v>
      </c>
      <c r="B15">
        <f>COUNTIFS(Table[Employee Gender],"Male",Table[Product Name],"Laptop")+COUNTIFS(Table[Employee Gender],"Male",Table[Product Name],"Mobile")</f>
        <v>16</v>
      </c>
    </row>
    <row r="16" spans="1:2" ht="15.6" x14ac:dyDescent="0.3">
      <c r="A16" s="1" t="s">
        <v>142</v>
      </c>
      <c r="B16">
        <f>COUNTIFS(Table[Department],"Sales",Table[Status],"Inactive")</f>
        <v>6</v>
      </c>
    </row>
    <row r="19" spans="1:2" ht="18" x14ac:dyDescent="0.35">
      <c r="A19" s="3" t="s">
        <v>143</v>
      </c>
      <c r="B19" s="2" t="s">
        <v>132</v>
      </c>
    </row>
    <row r="21" spans="1:2" ht="15.6" x14ac:dyDescent="0.3">
      <c r="A21" s="1" t="s">
        <v>144</v>
      </c>
      <c r="B21" s="5">
        <f>AVERAGEIF(Table[Region],"Dhaka",Table[Sales Amount])</f>
        <v>194904.76190476189</v>
      </c>
    </row>
    <row r="22" spans="1:2" ht="15.6" x14ac:dyDescent="0.3">
      <c r="A22" s="1" t="s">
        <v>145</v>
      </c>
      <c r="B22" s="5">
        <f>AVERAGEIF(Table[Employee Gender],"Female",Table[Sales Amount])</f>
        <v>179862.06896551725</v>
      </c>
    </row>
    <row r="23" spans="1:2" ht="15.6" x14ac:dyDescent="0.3">
      <c r="A23" s="1" t="s">
        <v>146</v>
      </c>
      <c r="B23" s="5">
        <f>AVERAGEIFS(Table[Sales Amount],Table[Status],"Active",Table[Product Name],"Laptop")</f>
        <v>225000</v>
      </c>
    </row>
    <row r="24" spans="1:2" ht="15.6" x14ac:dyDescent="0.3">
      <c r="A24" s="1" t="s">
        <v>147</v>
      </c>
      <c r="B24" s="5">
        <f>AVERAGEIFS(Table[Sales Amount],Table[Department],"Sales",Table[Employee Gender],"Male")</f>
        <v>159363.63636363635</v>
      </c>
    </row>
    <row r="25" spans="1:2" ht="15.6" x14ac:dyDescent="0.3">
      <c r="A25" s="1" t="s">
        <v>148</v>
      </c>
      <c r="B25" s="5">
        <f>AVERAGEIFS(Table[Sales Amount],Table[Quantity],"&gt;10")</f>
        <v>190875</v>
      </c>
    </row>
    <row r="28" spans="1:2" ht="18" x14ac:dyDescent="0.35">
      <c r="A28" s="3" t="s">
        <v>149</v>
      </c>
      <c r="B28" s="2" t="s">
        <v>132</v>
      </c>
    </row>
    <row r="30" spans="1:2" ht="15.6" x14ac:dyDescent="0.3">
      <c r="A30" s="1" t="s">
        <v>150</v>
      </c>
      <c r="B30" s="5">
        <f>_xlfn.MAXIFS(Table[Sales Amount],Table[Region],"Dhaka")</f>
        <v>280000</v>
      </c>
    </row>
    <row r="31" spans="1:2" ht="15.6" x14ac:dyDescent="0.3">
      <c r="A31" s="1" t="s">
        <v>151</v>
      </c>
      <c r="B31" s="5">
        <f>_xlfn.MAXIFS(Table[Sales Amount],Table[Employee Gender],"Female")</f>
        <v>275000</v>
      </c>
    </row>
    <row r="32" spans="1:2" ht="15.6" x14ac:dyDescent="0.3">
      <c r="A32" s="1" t="s">
        <v>152</v>
      </c>
      <c r="B32" s="5">
        <f>_xlfn.MAXIFS(Table[Sales Amount],Table[Product Name],"Laptop")</f>
        <v>280000</v>
      </c>
    </row>
    <row r="33" spans="1:2" ht="15.6" x14ac:dyDescent="0.3">
      <c r="A33" s="1" t="s">
        <v>153</v>
      </c>
      <c r="B33" s="5">
        <f>_xlfn.MAXIFS(Table[Sales Amount],Table[Status],"Active")</f>
        <v>280000</v>
      </c>
    </row>
    <row r="34" spans="1:2" ht="15.6" x14ac:dyDescent="0.3">
      <c r="A34" s="1" t="s">
        <v>154</v>
      </c>
      <c r="B34" s="5">
        <f>_xlfn.MAXIFS(Table[Sales Amount],Table[Department],"Sales")</f>
        <v>280000</v>
      </c>
    </row>
    <row r="37" spans="1:2" ht="18" x14ac:dyDescent="0.35">
      <c r="A37" s="3" t="s">
        <v>155</v>
      </c>
      <c r="B37" s="2" t="s">
        <v>132</v>
      </c>
    </row>
    <row r="39" spans="1:2" ht="15.6" x14ac:dyDescent="0.3">
      <c r="A39" s="1" t="s">
        <v>156</v>
      </c>
      <c r="B39" s="5">
        <f>_xlfn.MINIFS(Table[Sales Amount],Table[Region],"Dhaka")</f>
        <v>90000</v>
      </c>
    </row>
    <row r="40" spans="1:2" ht="15.6" x14ac:dyDescent="0.3">
      <c r="A40" s="1" t="s">
        <v>157</v>
      </c>
      <c r="B40" s="5">
        <f>_xlfn.MINIFS(Table[Sales Amount],Table[Employee Gender],"Female")</f>
        <v>70000</v>
      </c>
    </row>
    <row r="41" spans="1:2" ht="15.6" x14ac:dyDescent="0.3">
      <c r="A41" s="1" t="s">
        <v>158</v>
      </c>
      <c r="B41" s="5">
        <f>_xlfn.MINIFS(Table[Sales Amount],Table[Product Name],"Laptop")</f>
        <v>90000</v>
      </c>
    </row>
    <row r="42" spans="1:2" ht="15.6" x14ac:dyDescent="0.3">
      <c r="A42" s="1" t="s">
        <v>159</v>
      </c>
      <c r="B42" s="5">
        <f>_xlfn.MINIFS(Table[Sales Amount],Table[Status],"Active")</f>
        <v>55000</v>
      </c>
    </row>
    <row r="43" spans="1:2" ht="15.6" x14ac:dyDescent="0.3">
      <c r="A43" s="1" t="s">
        <v>160</v>
      </c>
      <c r="B43" s="5">
        <f>_xlfn.MINIFS(Table[Sales Amount],Table[Department],"Sales")</f>
        <v>90000</v>
      </c>
    </row>
    <row r="46" spans="1:2" ht="18" x14ac:dyDescent="0.35">
      <c r="A46" s="3" t="s">
        <v>161</v>
      </c>
      <c r="B46" s="2" t="s">
        <v>132</v>
      </c>
    </row>
    <row r="48" spans="1:2" ht="15.6" x14ac:dyDescent="0.3">
      <c r="A48" s="1" t="s">
        <v>162</v>
      </c>
      <c r="B48" s="5">
        <f>SUMIFS(Table[Sales Amount],Table[Product Name],"L*")</f>
        <v>5541000</v>
      </c>
    </row>
    <row r="49" spans="1:2" ht="15.6" x14ac:dyDescent="0.3">
      <c r="A49" s="1" t="s">
        <v>163</v>
      </c>
      <c r="B49" s="5">
        <f>COUNTIF(Table[Region],"D*")</f>
        <v>21</v>
      </c>
    </row>
    <row r="50" spans="1:2" ht="15.6" x14ac:dyDescent="0.3">
      <c r="A50" s="1" t="s">
        <v>164</v>
      </c>
      <c r="B50" s="5">
        <f>AVERAGEIF(Table[Product Name],"*e",Table[Sales Amount])</f>
        <v>145444.44444444444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C146-7CD2-4BB1-954C-B2EEAE252480}">
  <dimension ref="B3:C52"/>
  <sheetViews>
    <sheetView tabSelected="1" topLeftCell="A30" workbookViewId="0">
      <selection activeCell="H39" sqref="H39"/>
    </sheetView>
  </sheetViews>
  <sheetFormatPr defaultRowHeight="14.4" x14ac:dyDescent="0.3"/>
  <cols>
    <col min="1" max="1" width="19.33203125" customWidth="1"/>
    <col min="2" max="2" width="83.33203125" bestFit="1" customWidth="1"/>
    <col min="3" max="3" width="17.33203125" customWidth="1"/>
  </cols>
  <sheetData>
    <row r="3" spans="2:3" ht="18" x14ac:dyDescent="0.35">
      <c r="B3" s="3" t="s">
        <v>131</v>
      </c>
      <c r="C3" s="2" t="s">
        <v>132</v>
      </c>
    </row>
    <row r="5" spans="2:3" ht="15.6" x14ac:dyDescent="0.3">
      <c r="B5" s="6" t="s">
        <v>166</v>
      </c>
      <c r="C5" s="9">
        <f>SUMIFS(Table[Sales Amount],Table[Region],"Dhaka",Table[Employee Gender],"Female")</f>
        <v>2608000</v>
      </c>
    </row>
    <row r="6" spans="2:3" ht="15.6" x14ac:dyDescent="0.3">
      <c r="B6" s="6" t="s">
        <v>167</v>
      </c>
      <c r="C6" s="9">
        <f>SUMIFS(Table[Sales Amount],Table[Product Name],"Laptop",Table[Status],"Active")</f>
        <v>2700000</v>
      </c>
    </row>
    <row r="7" spans="2:3" ht="31.2" x14ac:dyDescent="0.3">
      <c r="B7" s="7" t="s">
        <v>168</v>
      </c>
      <c r="C7" s="9">
        <f>SUMIFS(Table[Sales Amount],Table[Department],"Sales",Table[Employee Gender],"Male",Table[Sales Amount],"&gt;100000")</f>
        <v>1568000</v>
      </c>
    </row>
    <row r="8" spans="2:3" ht="15.6" x14ac:dyDescent="0.3">
      <c r="B8" s="6" t="s">
        <v>165</v>
      </c>
      <c r="C8" s="9">
        <f>SUMIF(Table[Region],"Dhaka",Table[Sales Amount])+SUMIF(Table[Region],"Chattogram",SalesData!H:H)</f>
        <v>5791000</v>
      </c>
    </row>
    <row r="9" spans="2:3" ht="15.6" x14ac:dyDescent="0.3">
      <c r="B9" s="6" t="s">
        <v>169</v>
      </c>
      <c r="C9" s="9">
        <f>SUMIFS(Table[Sales Amount],Table[Status],"Active",Table[Quantity],"&gt;10")</f>
        <v>4983000</v>
      </c>
    </row>
    <row r="12" spans="2:3" ht="18" x14ac:dyDescent="0.35">
      <c r="B12" s="3" t="s">
        <v>137</v>
      </c>
      <c r="C12" s="2" t="s">
        <v>132</v>
      </c>
    </row>
    <row r="14" spans="2:3" ht="15.6" x14ac:dyDescent="0.3">
      <c r="B14" s="6" t="s">
        <v>170</v>
      </c>
      <c r="C14" s="8">
        <f>COUNTIFS(Table[Region],"Dhaka",Table[Product Name],"Laptop")</f>
        <v>12</v>
      </c>
    </row>
    <row r="15" spans="2:3" ht="15.6" x14ac:dyDescent="0.3">
      <c r="B15" s="6" t="s">
        <v>171</v>
      </c>
      <c r="C15" s="8">
        <f>COUNTIFS(Table[Employee Gender],"Female",Table[Status],"Active")</f>
        <v>23</v>
      </c>
    </row>
    <row r="16" spans="2:3" ht="15.6" x14ac:dyDescent="0.3">
      <c r="B16" s="6" t="s">
        <v>172</v>
      </c>
      <c r="C16" s="8">
        <f>COUNTIFS(Table[Sales Amount],"&gt;50000",Table[Sales Amount],"&lt;200000")</f>
        <v>32</v>
      </c>
    </row>
    <row r="17" spans="2:3" ht="15.6" x14ac:dyDescent="0.3">
      <c r="B17" s="6" t="s">
        <v>173</v>
      </c>
      <c r="C17" s="8">
        <f>COUNTIFS(Table[Employee Gender],"Male",Table[Product Name],"Laptop")+COUNTIFS(Table[Employee Gender],"Male",Table[Product Name],"Mobile")</f>
        <v>16</v>
      </c>
    </row>
    <row r="18" spans="2:3" ht="15.6" x14ac:dyDescent="0.3">
      <c r="B18" s="6" t="s">
        <v>174</v>
      </c>
      <c r="C18" s="8">
        <f>COUNTIFS(Table[Department],"Sales",Table[Status],"Inactive")</f>
        <v>6</v>
      </c>
    </row>
    <row r="21" spans="2:3" ht="18" x14ac:dyDescent="0.35">
      <c r="B21" s="3" t="s">
        <v>143</v>
      </c>
      <c r="C21" s="2" t="s">
        <v>132</v>
      </c>
    </row>
    <row r="23" spans="2:3" ht="15.6" x14ac:dyDescent="0.3">
      <c r="B23" s="6" t="s">
        <v>175</v>
      </c>
      <c r="C23" s="11">
        <f>AVERAGEIF(Table[Region],"Dhaka",Table[Sales Amount])</f>
        <v>194904.76190476189</v>
      </c>
    </row>
    <row r="24" spans="2:3" ht="15.6" x14ac:dyDescent="0.3">
      <c r="B24" s="6" t="s">
        <v>176</v>
      </c>
      <c r="C24" s="11">
        <f>AVERAGEIF(Table[Employee Gender],"Female",Table[Sales Amount])</f>
        <v>179862.06896551725</v>
      </c>
    </row>
    <row r="25" spans="2:3" ht="15.6" x14ac:dyDescent="0.3">
      <c r="B25" s="6" t="s">
        <v>177</v>
      </c>
      <c r="C25" s="11">
        <f>AVERAGEIFS(Table[Sales Amount],Table[Status],"Active",Table[Product Name],"Laptop")</f>
        <v>225000</v>
      </c>
    </row>
    <row r="26" spans="2:3" ht="15.6" x14ac:dyDescent="0.3">
      <c r="B26" s="6" t="s">
        <v>178</v>
      </c>
      <c r="C26" s="11">
        <f>AVERAGEIFS(Table[Sales Amount],Table[Department],"Sales",Table[Employee Gender],"Male")</f>
        <v>159363.63636363635</v>
      </c>
    </row>
    <row r="27" spans="2:3" ht="15.6" x14ac:dyDescent="0.3">
      <c r="B27" s="6" t="s">
        <v>179</v>
      </c>
      <c r="C27" s="11">
        <f>AVERAGEIFS(Table[Sales Amount],Table[Quantity],"&gt;10")</f>
        <v>190875</v>
      </c>
    </row>
    <row r="28" spans="2:3" x14ac:dyDescent="0.3">
      <c r="B28" s="10"/>
      <c r="C28" s="10"/>
    </row>
    <row r="30" spans="2:3" ht="18" x14ac:dyDescent="0.35">
      <c r="B30" s="3" t="s">
        <v>149</v>
      </c>
      <c r="C30" s="2" t="s">
        <v>132</v>
      </c>
    </row>
    <row r="32" spans="2:3" ht="15.6" x14ac:dyDescent="0.3">
      <c r="B32" s="6" t="s">
        <v>180</v>
      </c>
      <c r="C32" s="11">
        <f>_xlfn.MAXIFS(Table[Sales Amount],Table[Region],"Dhaka")</f>
        <v>280000</v>
      </c>
    </row>
    <row r="33" spans="2:3" ht="15.6" x14ac:dyDescent="0.3">
      <c r="B33" s="6" t="s">
        <v>181</v>
      </c>
      <c r="C33" s="11">
        <f>_xlfn.MAXIFS(Table[Sales Amount],Table[Employee Gender],"Female")</f>
        <v>275000</v>
      </c>
    </row>
    <row r="34" spans="2:3" ht="15.6" x14ac:dyDescent="0.3">
      <c r="B34" s="6" t="s">
        <v>182</v>
      </c>
      <c r="C34" s="11">
        <f>_xlfn.MAXIFS(Table[Sales Amount],Table[Product Name],"Laptop")</f>
        <v>280000</v>
      </c>
    </row>
    <row r="35" spans="2:3" ht="15.6" x14ac:dyDescent="0.3">
      <c r="B35" s="6" t="s">
        <v>183</v>
      </c>
      <c r="C35" s="11">
        <f>_xlfn.MAXIFS(Table[Sales Amount],Table[Status],"Active")</f>
        <v>280000</v>
      </c>
    </row>
    <row r="36" spans="2:3" ht="15.6" x14ac:dyDescent="0.3">
      <c r="B36" s="6" t="s">
        <v>184</v>
      </c>
      <c r="C36" s="11">
        <f>_xlfn.MAXIFS(Table[Sales Amount],Table[Department],"Sales")</f>
        <v>280000</v>
      </c>
    </row>
    <row r="39" spans="2:3" ht="18" x14ac:dyDescent="0.35">
      <c r="B39" s="3" t="s">
        <v>155</v>
      </c>
      <c r="C39" s="2" t="s">
        <v>132</v>
      </c>
    </row>
    <row r="41" spans="2:3" ht="15.6" x14ac:dyDescent="0.3">
      <c r="B41" s="6" t="s">
        <v>185</v>
      </c>
      <c r="C41" s="11">
        <f>_xlfn.MINIFS(Table[Sales Amount],Table[Region],"Dhaka")</f>
        <v>90000</v>
      </c>
    </row>
    <row r="42" spans="2:3" ht="15.6" x14ac:dyDescent="0.3">
      <c r="B42" s="6" t="s">
        <v>186</v>
      </c>
      <c r="C42" s="11">
        <f>_xlfn.MINIFS(Table[Sales Amount],Table[Employee Gender],"Female")</f>
        <v>70000</v>
      </c>
    </row>
    <row r="43" spans="2:3" ht="15.6" x14ac:dyDescent="0.3">
      <c r="B43" s="6" t="s">
        <v>187</v>
      </c>
      <c r="C43" s="11">
        <f>_xlfn.MINIFS(Table[Sales Amount],Table[Product Name],"Laptop")</f>
        <v>90000</v>
      </c>
    </row>
    <row r="44" spans="2:3" ht="15.6" x14ac:dyDescent="0.3">
      <c r="B44" s="6" t="s">
        <v>188</v>
      </c>
      <c r="C44" s="11">
        <f>_xlfn.MINIFS(Table[Sales Amount],Table[Status],"Active")</f>
        <v>55000</v>
      </c>
    </row>
    <row r="45" spans="2:3" ht="15.6" x14ac:dyDescent="0.3">
      <c r="B45" s="6" t="s">
        <v>189</v>
      </c>
      <c r="C45" s="11">
        <f>_xlfn.MINIFS(Table[Sales Amount],Table[Department],"Sales")</f>
        <v>90000</v>
      </c>
    </row>
    <row r="48" spans="2:3" ht="18" x14ac:dyDescent="0.35">
      <c r="B48" s="3" t="s">
        <v>161</v>
      </c>
      <c r="C48" s="2" t="s">
        <v>132</v>
      </c>
    </row>
    <row r="50" spans="2:3" ht="15.6" x14ac:dyDescent="0.3">
      <c r="B50" s="6" t="s">
        <v>190</v>
      </c>
      <c r="C50" s="11">
        <f>SUMIFS(Table[Sales Amount],Table[Product Name],"L*")</f>
        <v>5541000</v>
      </c>
    </row>
    <row r="51" spans="2:3" ht="15.6" x14ac:dyDescent="0.3">
      <c r="B51" s="6" t="s">
        <v>191</v>
      </c>
      <c r="C51" s="11">
        <f>COUNTIF(Table[Region],"D*")</f>
        <v>21</v>
      </c>
    </row>
    <row r="52" spans="2:3" ht="15.6" x14ac:dyDescent="0.3">
      <c r="B52" s="6" t="s">
        <v>192</v>
      </c>
      <c r="C52" s="11">
        <f>AVERAGEIF(Table[Product Name],"*e",Table[Sales Amount])</f>
        <v>145444.44444444444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CA Functions Practiced</vt:lpstr>
      <vt:lpstr>CA Functions Practiced (Eng)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2026-06-16T06:38:34Z</dcterms:created>
  <dcterms:modified xsi:type="dcterms:W3CDTF">2026-06-16T10:10:52Z</dcterms:modified>
</cp:coreProperties>
</file>