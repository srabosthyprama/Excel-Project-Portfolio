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DA Related Files\Portfolio\Excel\Formulas &amp; Data Analysis Channel Assignment\Practiced 2nd Assignment\"/>
    </mc:Choice>
  </mc:AlternateContent>
  <xr:revisionPtr revIDLastSave="0" documentId="13_ncr:1_{DA2A3B88-4135-4272-AA8E-098E1E619189}" xr6:coauthVersionLast="47" xr6:coauthVersionMax="47" xr10:uidLastSave="{00000000-0000-0000-0000-000000000000}"/>
  <bookViews>
    <workbookView xWindow="-108" yWindow="-108" windowWidth="23256" windowHeight="12456" firstSheet="5" activeTab="12" xr2:uid="{00000000-000D-0000-FFFF-FFFF00000000}"/>
  </bookViews>
  <sheets>
    <sheet name="Q1" sheetId="1" r:id="rId1"/>
    <sheet name="Q2" sheetId="2" r:id="rId2"/>
    <sheet name="Sales Data" sheetId="3" r:id="rId3"/>
    <sheet name="Customer Master" sheetId="4" r:id="rId4"/>
    <sheet name="Employee Attendance" sheetId="5" r:id="rId5"/>
    <sheet name="Employee Master" sheetId="6" r:id="rId6"/>
    <sheet name="Q5" sheetId="7" r:id="rId7"/>
    <sheet name="Q6" sheetId="8" r:id="rId8"/>
    <sheet name="Q7" sheetId="9" r:id="rId9"/>
    <sheet name="Q8" sheetId="10" r:id="rId10"/>
    <sheet name="Q9" sheetId="11" r:id="rId11"/>
    <sheet name="Q10" sheetId="12" r:id="rId12"/>
    <sheet name="Pivot Table Dashboard" sheetId="14" r:id="rId13"/>
  </sheets>
  <definedNames>
    <definedName name="_xlnm._FilterDatabase" localSheetId="3" hidden="1">'Customer Master'!$A$1:$C$1</definedName>
    <definedName name="_xlnm._FilterDatabase" localSheetId="4" hidden="1">'Employee Attendance'!$A$2:$D$2</definedName>
    <definedName name="_xlnm._FilterDatabase" localSheetId="5" hidden="1">'Employee Master'!$B$1:$E$1</definedName>
    <definedName name="_xlnm._FilterDatabase" localSheetId="0" hidden="1">'Q1'!$A$1:$D$80</definedName>
    <definedName name="_xlnm._FilterDatabase" localSheetId="11" hidden="1">'Q10'!$A$1:$J$436</definedName>
    <definedName name="_xlnm._FilterDatabase" localSheetId="1" hidden="1">'Q2'!$A$1:$D$151</definedName>
    <definedName name="_xlnm._FilterDatabase" localSheetId="6" hidden="1">'Q5'!$A$2:$D$2</definedName>
    <definedName name="_xlnm._FilterDatabase" localSheetId="7" hidden="1">'Q6'!$A$1:$C$1</definedName>
    <definedName name="_xlnm._FilterDatabase" localSheetId="8" hidden="1">'Q7'!$A$2:$E$2</definedName>
    <definedName name="_xlnm._FilterDatabase" localSheetId="10" hidden="1">'Q9'!$A$1:$C$151</definedName>
    <definedName name="_xlnm._FilterDatabase" localSheetId="2" hidden="1">'Sales Data'!$A$1:$F$100</definedName>
    <definedName name="Slicer_Model">#N/A</definedName>
    <definedName name="Slicer_Rt_Name">#N/A</definedName>
    <definedName name="Slicer_VM">#N/A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11" l="1" a="1"/>
  <c r="C3" i="11"/>
  <c r="C4" i="11" a="1"/>
  <c r="C4" i="11"/>
  <c r="C5" i="11" a="1"/>
  <c r="C5" i="11"/>
  <c r="C6" i="11" a="1"/>
  <c r="C6" i="11"/>
  <c r="C7" i="11" a="1"/>
  <c r="C7" i="11"/>
  <c r="C8" i="11" a="1"/>
  <c r="C8" i="11"/>
  <c r="C9" i="11" a="1"/>
  <c r="C9" i="11"/>
  <c r="C10" i="11" a="1"/>
  <c r="C10" i="11"/>
  <c r="C11" i="11" a="1"/>
  <c r="C11" i="11"/>
  <c r="C12" i="11" a="1"/>
  <c r="C12" i="11"/>
  <c r="C13" i="11" a="1"/>
  <c r="C13" i="11"/>
  <c r="C14" i="11" a="1"/>
  <c r="C14" i="11"/>
  <c r="C15" i="11" a="1"/>
  <c r="C15" i="11"/>
  <c r="C16" i="11" a="1"/>
  <c r="C16" i="11"/>
  <c r="C17" i="11" a="1"/>
  <c r="C17" i="11"/>
  <c r="C18" i="11" a="1"/>
  <c r="C18" i="11"/>
  <c r="C19" i="11" a="1"/>
  <c r="C19" i="11"/>
  <c r="C20" i="11" a="1"/>
  <c r="C20" i="11"/>
  <c r="C21" i="11" a="1"/>
  <c r="C21" i="11"/>
  <c r="C22" i="11" a="1"/>
  <c r="C22" i="11"/>
  <c r="C23" i="11" a="1"/>
  <c r="C23" i="11"/>
  <c r="C24" i="11" a="1"/>
  <c r="C24" i="11"/>
  <c r="C25" i="11" a="1"/>
  <c r="C25" i="11"/>
  <c r="C26" i="11" a="1"/>
  <c r="C26" i="11"/>
  <c r="C27" i="11" a="1"/>
  <c r="C27" i="11"/>
  <c r="C28" i="11" a="1"/>
  <c r="C28" i="11"/>
  <c r="C29" i="11" a="1"/>
  <c r="C29" i="11"/>
  <c r="C30" i="11" a="1"/>
  <c r="C30" i="11"/>
  <c r="C31" i="11" a="1"/>
  <c r="C31" i="11"/>
  <c r="C32" i="11" a="1"/>
  <c r="C32" i="11"/>
  <c r="C33" i="11" a="1"/>
  <c r="C33" i="11"/>
  <c r="C34" i="11" a="1"/>
  <c r="C34" i="11"/>
  <c r="C35" i="11" a="1"/>
  <c r="C35" i="11"/>
  <c r="C36" i="11" a="1"/>
  <c r="C36" i="11"/>
  <c r="C37" i="11" a="1"/>
  <c r="C37" i="11"/>
  <c r="C38" i="11" a="1"/>
  <c r="C38" i="11"/>
  <c r="C39" i="11" a="1"/>
  <c r="C39" i="11"/>
  <c r="C40" i="11" a="1"/>
  <c r="C40" i="11"/>
  <c r="C41" i="11" a="1"/>
  <c r="C41" i="11"/>
  <c r="C42" i="11" a="1"/>
  <c r="C42" i="11"/>
  <c r="C43" i="11" a="1"/>
  <c r="C43" i="11"/>
  <c r="C44" i="11" a="1"/>
  <c r="C44" i="11"/>
  <c r="C45" i="11" a="1"/>
  <c r="C45" i="11"/>
  <c r="C46" i="11" a="1"/>
  <c r="C46" i="11"/>
  <c r="C47" i="11" a="1"/>
  <c r="C47" i="11"/>
  <c r="C48" i="11" a="1"/>
  <c r="C48" i="11"/>
  <c r="C49" i="11" a="1"/>
  <c r="C49" i="11"/>
  <c r="C50" i="11" a="1"/>
  <c r="C50" i="11"/>
  <c r="C51" i="11" a="1"/>
  <c r="C51" i="11"/>
  <c r="C52" i="11" a="1"/>
  <c r="C52" i="11"/>
  <c r="C53" i="11" a="1"/>
  <c r="C53" i="11"/>
  <c r="C54" i="11" a="1"/>
  <c r="C54" i="11"/>
  <c r="C55" i="11" a="1"/>
  <c r="C55" i="11"/>
  <c r="C56" i="11" a="1"/>
  <c r="C56" i="11"/>
  <c r="C57" i="11" a="1"/>
  <c r="C57" i="11"/>
  <c r="C58" i="11" a="1"/>
  <c r="C58" i="11"/>
  <c r="C59" i="11" a="1"/>
  <c r="C59" i="11"/>
  <c r="C60" i="11" a="1"/>
  <c r="C60" i="11"/>
  <c r="C61" i="11" a="1"/>
  <c r="C61" i="11"/>
  <c r="C62" i="11" a="1"/>
  <c r="C62" i="11"/>
  <c r="C63" i="11" a="1"/>
  <c r="C63" i="11"/>
  <c r="C64" i="11" a="1"/>
  <c r="C64" i="11"/>
  <c r="C65" i="11" a="1"/>
  <c r="C65" i="11"/>
  <c r="C66" i="11" a="1"/>
  <c r="C66" i="11"/>
  <c r="C67" i="11" a="1"/>
  <c r="C67" i="11"/>
  <c r="C68" i="11" a="1"/>
  <c r="C68" i="11"/>
  <c r="C69" i="11" a="1"/>
  <c r="C69" i="11"/>
  <c r="C70" i="11" a="1"/>
  <c r="C70" i="11"/>
  <c r="C71" i="11" a="1"/>
  <c r="C71" i="11"/>
  <c r="C72" i="11" a="1"/>
  <c r="C72" i="11"/>
  <c r="C73" i="11" a="1"/>
  <c r="C73" i="11"/>
  <c r="C74" i="11" a="1"/>
  <c r="C74" i="11"/>
  <c r="C75" i="11" a="1"/>
  <c r="C75" i="11"/>
  <c r="C76" i="11" a="1"/>
  <c r="C76" i="11"/>
  <c r="C77" i="11" a="1"/>
  <c r="C77" i="11"/>
  <c r="C78" i="11" a="1"/>
  <c r="C78" i="11"/>
  <c r="C79" i="11" a="1"/>
  <c r="C79" i="11"/>
  <c r="C80" i="11" a="1"/>
  <c r="C80" i="11"/>
  <c r="C81" i="11" a="1"/>
  <c r="C81" i="11"/>
  <c r="C82" i="11" a="1"/>
  <c r="C82" i="11"/>
  <c r="C83" i="11" a="1"/>
  <c r="C83" i="11"/>
  <c r="C84" i="11" a="1"/>
  <c r="C84" i="11"/>
  <c r="C85" i="11" a="1"/>
  <c r="C85" i="11"/>
  <c r="C86" i="11" a="1"/>
  <c r="C86" i="11"/>
  <c r="C87" i="11" a="1"/>
  <c r="C87" i="11"/>
  <c r="C88" i="11" a="1"/>
  <c r="C88" i="11"/>
  <c r="C89" i="11" a="1"/>
  <c r="C89" i="11"/>
  <c r="C90" i="11" a="1"/>
  <c r="C90" i="11"/>
  <c r="C91" i="11" a="1"/>
  <c r="C91" i="11"/>
  <c r="C92" i="11" a="1"/>
  <c r="C92" i="11"/>
  <c r="C93" i="11" a="1"/>
  <c r="C93" i="11"/>
  <c r="C94" i="11" a="1"/>
  <c r="C94" i="11"/>
  <c r="C95" i="11" a="1"/>
  <c r="C95" i="11"/>
  <c r="C96" i="11" a="1"/>
  <c r="C96" i="11"/>
  <c r="C97" i="11" a="1"/>
  <c r="C97" i="11"/>
  <c r="C98" i="11" a="1"/>
  <c r="C98" i="11"/>
  <c r="C99" i="11" a="1"/>
  <c r="C99" i="11"/>
  <c r="C100" i="11" a="1"/>
  <c r="C100" i="11"/>
  <c r="C101" i="11" a="1"/>
  <c r="C101" i="11"/>
  <c r="C102" i="11" a="1"/>
  <c r="C102" i="11"/>
  <c r="C103" i="11" a="1"/>
  <c r="C103" i="11"/>
  <c r="C104" i="11" a="1"/>
  <c r="C104" i="11"/>
  <c r="C105" i="11" a="1"/>
  <c r="C105" i="11"/>
  <c r="C106" i="11" a="1"/>
  <c r="C106" i="11"/>
  <c r="C107" i="11" a="1"/>
  <c r="C107" i="11"/>
  <c r="C108" i="11" a="1"/>
  <c r="C108" i="11"/>
  <c r="C109" i="11" a="1"/>
  <c r="C109" i="11"/>
  <c r="C110" i="11" a="1"/>
  <c r="C110" i="11"/>
  <c r="C111" i="11" a="1"/>
  <c r="C111" i="11"/>
  <c r="C112" i="11" a="1"/>
  <c r="C112" i="11"/>
  <c r="C113" i="11" a="1"/>
  <c r="C113" i="11"/>
  <c r="C114" i="11" a="1"/>
  <c r="C114" i="11"/>
  <c r="C115" i="11" a="1"/>
  <c r="C115" i="11"/>
  <c r="C116" i="11" a="1"/>
  <c r="C116" i="11"/>
  <c r="C117" i="11" a="1"/>
  <c r="C117" i="11"/>
  <c r="C118" i="11" a="1"/>
  <c r="C118" i="11"/>
  <c r="C119" i="11" a="1"/>
  <c r="C119" i="11"/>
  <c r="C120" i="11" a="1"/>
  <c r="C120" i="11"/>
  <c r="C121" i="11" a="1"/>
  <c r="C121" i="11"/>
  <c r="C122" i="11" a="1"/>
  <c r="C122" i="11"/>
  <c r="C123" i="11" a="1"/>
  <c r="C123" i="11"/>
  <c r="C124" i="11" a="1"/>
  <c r="C124" i="11"/>
  <c r="C125" i="11" a="1"/>
  <c r="C125" i="11"/>
  <c r="C126" i="11" a="1"/>
  <c r="C126" i="11"/>
  <c r="C127" i="11" a="1"/>
  <c r="C127" i="11"/>
  <c r="C128" i="11" a="1"/>
  <c r="C128" i="11"/>
  <c r="C129" i="11" a="1"/>
  <c r="C129" i="11"/>
  <c r="C130" i="11" a="1"/>
  <c r="C130" i="11"/>
  <c r="C131" i="11" a="1"/>
  <c r="C131" i="11"/>
  <c r="C132" i="11" a="1"/>
  <c r="C132" i="11"/>
  <c r="C133" i="11" a="1"/>
  <c r="C133" i="11"/>
  <c r="C134" i="11" a="1"/>
  <c r="C134" i="11"/>
  <c r="C135" i="11" a="1"/>
  <c r="C135" i="11"/>
  <c r="C136" i="11" a="1"/>
  <c r="C136" i="11"/>
  <c r="C137" i="11" a="1"/>
  <c r="C137" i="11"/>
  <c r="C138" i="11" a="1"/>
  <c r="C138" i="11"/>
  <c r="C139" i="11" a="1"/>
  <c r="C139" i="11"/>
  <c r="C140" i="11" a="1"/>
  <c r="C140" i="11"/>
  <c r="C141" i="11" a="1"/>
  <c r="C141" i="11"/>
  <c r="C142" i="11" a="1"/>
  <c r="C142" i="11"/>
  <c r="C143" i="11" a="1"/>
  <c r="C143" i="11"/>
  <c r="C144" i="11" a="1"/>
  <c r="C144" i="11"/>
  <c r="C145" i="11" a="1"/>
  <c r="C145" i="11"/>
  <c r="C146" i="11" a="1"/>
  <c r="C146" i="11"/>
  <c r="C147" i="11" a="1"/>
  <c r="C147" i="11"/>
  <c r="C148" i="11" a="1"/>
  <c r="C148" i="11"/>
  <c r="C149" i="11" a="1"/>
  <c r="C149" i="11"/>
  <c r="C150" i="11" a="1"/>
  <c r="C150" i="11"/>
  <c r="C151" i="11" a="1"/>
  <c r="C151" i="11"/>
  <c r="C2" i="11" a="1"/>
  <c r="C2" i="11" s="1"/>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3" i="10"/>
  <c r="H9" i="9"/>
  <c r="F8" i="8"/>
  <c r="G13" i="7"/>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B3" i="5"/>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G5" i="2"/>
  <c r="F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<sst xmlns="http://schemas.openxmlformats.org/spreadsheetml/2006/main" count="7165" uniqueCount="758">
  <si>
    <t>Date</t>
  </si>
  <si>
    <t>Region</t>
  </si>
  <si>
    <t>Product</t>
  </si>
  <si>
    <t>Sales Amount</t>
  </si>
  <si>
    <t>Sylhet</t>
  </si>
  <si>
    <t>Laptop</t>
  </si>
  <si>
    <t>Printer</t>
  </si>
  <si>
    <t>Dhaka</t>
  </si>
  <si>
    <t>Mobile</t>
  </si>
  <si>
    <t>Khulna</t>
  </si>
  <si>
    <t>Monitor</t>
  </si>
  <si>
    <t>Chattogram</t>
  </si>
  <si>
    <t>Invoice No</t>
  </si>
  <si>
    <t>Customer ID</t>
  </si>
  <si>
    <t>INV001</t>
  </si>
  <si>
    <t>C120</t>
  </si>
  <si>
    <t>INV002</t>
  </si>
  <si>
    <t>C104</t>
  </si>
  <si>
    <t>INV003</t>
  </si>
  <si>
    <t>C124</t>
  </si>
  <si>
    <t>INV004</t>
  </si>
  <si>
    <t>C122</t>
  </si>
  <si>
    <t>INV005</t>
  </si>
  <si>
    <t>C103</t>
  </si>
  <si>
    <t>INV006</t>
  </si>
  <si>
    <t>C105</t>
  </si>
  <si>
    <t>INV007</t>
  </si>
  <si>
    <t>INV008</t>
  </si>
  <si>
    <t>C129</t>
  </si>
  <si>
    <t>INV009</t>
  </si>
  <si>
    <t>C102</t>
  </si>
  <si>
    <t>INV010</t>
  </si>
  <si>
    <t>INV011</t>
  </si>
  <si>
    <t>C125</t>
  </si>
  <si>
    <t>INV012</t>
  </si>
  <si>
    <t>C107</t>
  </si>
  <si>
    <t>INV013</t>
  </si>
  <si>
    <t>INV014</t>
  </si>
  <si>
    <t>INV015</t>
  </si>
  <si>
    <t>C114</t>
  </si>
  <si>
    <t>INV016</t>
  </si>
  <si>
    <t>INV017</t>
  </si>
  <si>
    <t>INV018</t>
  </si>
  <si>
    <t>C128</t>
  </si>
  <si>
    <t>INV019</t>
  </si>
  <si>
    <t>INV020</t>
  </si>
  <si>
    <t>C123</t>
  </si>
  <si>
    <t>INV021</t>
  </si>
  <si>
    <t>INV022</t>
  </si>
  <si>
    <t>C118</t>
  </si>
  <si>
    <t>INV023</t>
  </si>
  <si>
    <t>C106</t>
  </si>
  <si>
    <t>INV024</t>
  </si>
  <si>
    <t>INV025</t>
  </si>
  <si>
    <t>C113</t>
  </si>
  <si>
    <t>INV026</t>
  </si>
  <si>
    <t>INV027</t>
  </si>
  <si>
    <t>C109</t>
  </si>
  <si>
    <t>INV028</t>
  </si>
  <si>
    <t>C115</t>
  </si>
  <si>
    <t>INV029</t>
  </si>
  <si>
    <t>C108</t>
  </si>
  <si>
    <t>INV030</t>
  </si>
  <si>
    <t>INV031</t>
  </si>
  <si>
    <t>INV032</t>
  </si>
  <si>
    <t>C112</t>
  </si>
  <si>
    <t>INV033</t>
  </si>
  <si>
    <t>INV034</t>
  </si>
  <si>
    <t>INV035</t>
  </si>
  <si>
    <t>C111</t>
  </si>
  <si>
    <t>INV036</t>
  </si>
  <si>
    <t>INV037</t>
  </si>
  <si>
    <t>C101</t>
  </si>
  <si>
    <t>INV038</t>
  </si>
  <si>
    <t>INV039</t>
  </si>
  <si>
    <t>INV040</t>
  </si>
  <si>
    <t>INV041</t>
  </si>
  <si>
    <t>C117</t>
  </si>
  <si>
    <t>INV042</t>
  </si>
  <si>
    <t>INV043</t>
  </si>
  <si>
    <t>INV044</t>
  </si>
  <si>
    <t>INV045</t>
  </si>
  <si>
    <t>INV046</t>
  </si>
  <si>
    <t>INV047</t>
  </si>
  <si>
    <t>INV048</t>
  </si>
  <si>
    <t>INV049</t>
  </si>
  <si>
    <t>INV050</t>
  </si>
  <si>
    <t>INV051</t>
  </si>
  <si>
    <t>INV052</t>
  </si>
  <si>
    <t>INV053</t>
  </si>
  <si>
    <t>INV054</t>
  </si>
  <si>
    <t>INV055</t>
  </si>
  <si>
    <t>C119</t>
  </si>
  <si>
    <t>INV056</t>
  </si>
  <si>
    <t>INV057</t>
  </si>
  <si>
    <t>INV058</t>
  </si>
  <si>
    <t>INV059</t>
  </si>
  <si>
    <t>INV060</t>
  </si>
  <si>
    <t>INV061</t>
  </si>
  <si>
    <t>INV062</t>
  </si>
  <si>
    <t>INV063</t>
  </si>
  <si>
    <t>INV064</t>
  </si>
  <si>
    <t>INV065</t>
  </si>
  <si>
    <t>INV066</t>
  </si>
  <si>
    <t>INV067</t>
  </si>
  <si>
    <t>INV068</t>
  </si>
  <si>
    <t>INV069</t>
  </si>
  <si>
    <t>C116</t>
  </si>
  <si>
    <t>INV070</t>
  </si>
  <si>
    <t>INV071</t>
  </si>
  <si>
    <t>INV072</t>
  </si>
  <si>
    <t>INV073</t>
  </si>
  <si>
    <t>INV074</t>
  </si>
  <si>
    <t>INV075</t>
  </si>
  <si>
    <t>INV076</t>
  </si>
  <si>
    <t>INV077</t>
  </si>
  <si>
    <t>INV078</t>
  </si>
  <si>
    <t>C121</t>
  </si>
  <si>
    <t>INV079</t>
  </si>
  <si>
    <t>C127</t>
  </si>
  <si>
    <t>INV080</t>
  </si>
  <si>
    <t>INV081</t>
  </si>
  <si>
    <t>INV082</t>
  </si>
  <si>
    <t>INV083</t>
  </si>
  <si>
    <t>INV084</t>
  </si>
  <si>
    <t>INV085</t>
  </si>
  <si>
    <t>INV086</t>
  </si>
  <si>
    <t>INV087</t>
  </si>
  <si>
    <t>INV088</t>
  </si>
  <si>
    <t>INV089</t>
  </si>
  <si>
    <t>INV090</t>
  </si>
  <si>
    <t>C130</t>
  </si>
  <si>
    <t>INV091</t>
  </si>
  <si>
    <t>INV092</t>
  </si>
  <si>
    <t>INV093</t>
  </si>
  <si>
    <t>INV094</t>
  </si>
  <si>
    <t>INV095</t>
  </si>
  <si>
    <t>INV096</t>
  </si>
  <si>
    <t>INV097</t>
  </si>
  <si>
    <t>INV098</t>
  </si>
  <si>
    <t>INV099</t>
  </si>
  <si>
    <t>C110</t>
  </si>
  <si>
    <t>C126</t>
  </si>
  <si>
    <t>Customer Name</t>
  </si>
  <si>
    <t>Rima</t>
  </si>
  <si>
    <t>Nadia</t>
  </si>
  <si>
    <t>Sadia</t>
  </si>
  <si>
    <t>Rahim</t>
  </si>
  <si>
    <t>Tania</t>
  </si>
  <si>
    <t>Rifat</t>
  </si>
  <si>
    <t>Jui</t>
  </si>
  <si>
    <t>Nabila</t>
  </si>
  <si>
    <t>Sohan</t>
  </si>
  <si>
    <t>Employee ID</t>
  </si>
  <si>
    <t>E110</t>
  </si>
  <si>
    <t>E114</t>
  </si>
  <si>
    <t>E103</t>
  </si>
  <si>
    <t>E124</t>
  </si>
  <si>
    <t>E121</t>
  </si>
  <si>
    <t>E104</t>
  </si>
  <si>
    <t>E101</t>
  </si>
  <si>
    <t>E113</t>
  </si>
  <si>
    <t>E120</t>
  </si>
  <si>
    <t>E122</t>
  </si>
  <si>
    <t>E109</t>
  </si>
  <si>
    <t>E111</t>
  </si>
  <si>
    <t>E106</t>
  </si>
  <si>
    <t>E115</t>
  </si>
  <si>
    <t>E119</t>
  </si>
  <si>
    <t>E116</t>
  </si>
  <si>
    <t>E129</t>
  </si>
  <si>
    <t>E128</t>
  </si>
  <si>
    <t>E130</t>
  </si>
  <si>
    <t>E107</t>
  </si>
  <si>
    <t>E118</t>
  </si>
  <si>
    <t>E105</t>
  </si>
  <si>
    <t>E117</t>
  </si>
  <si>
    <t>E125</t>
  </si>
  <si>
    <t>E102</t>
  </si>
  <si>
    <t>E112</t>
  </si>
  <si>
    <t>E127</t>
  </si>
  <si>
    <t>E123</t>
  </si>
  <si>
    <t>E126</t>
  </si>
  <si>
    <t>Employee Name</t>
  </si>
  <si>
    <t>Department</t>
  </si>
  <si>
    <t>Salary</t>
  </si>
  <si>
    <t>HR</t>
  </si>
  <si>
    <t>Karim</t>
  </si>
  <si>
    <t>Accounts</t>
  </si>
  <si>
    <t>Sales</t>
  </si>
  <si>
    <t>IT</t>
  </si>
  <si>
    <t>E108</t>
  </si>
  <si>
    <t>Status</t>
  </si>
  <si>
    <t>Present</t>
  </si>
  <si>
    <t>Absent</t>
  </si>
  <si>
    <t>Employee</t>
  </si>
  <si>
    <t>Gender</t>
  </si>
  <si>
    <t>Experience</t>
  </si>
  <si>
    <t>Female</t>
  </si>
  <si>
    <t>Male</t>
  </si>
  <si>
    <t>Order ID</t>
  </si>
  <si>
    <t>Units Sold</t>
  </si>
  <si>
    <t>Total Sales</t>
  </si>
  <si>
    <t>O001</t>
  </si>
  <si>
    <t>O002</t>
  </si>
  <si>
    <t>O003</t>
  </si>
  <si>
    <t>O004</t>
  </si>
  <si>
    <t>O005</t>
  </si>
  <si>
    <t>O006</t>
  </si>
  <si>
    <t>O007</t>
  </si>
  <si>
    <t>O008</t>
  </si>
  <si>
    <t>O009</t>
  </si>
  <si>
    <t>O010</t>
  </si>
  <si>
    <t>O011</t>
  </si>
  <si>
    <t>O012</t>
  </si>
  <si>
    <t>O013</t>
  </si>
  <si>
    <t>O014</t>
  </si>
  <si>
    <t>O015</t>
  </si>
  <si>
    <t>O016</t>
  </si>
  <si>
    <t>O017</t>
  </si>
  <si>
    <t>O018</t>
  </si>
  <si>
    <t>O019</t>
  </si>
  <si>
    <t>O020</t>
  </si>
  <si>
    <t>O021</t>
  </si>
  <si>
    <t>O022</t>
  </si>
  <si>
    <t>O023</t>
  </si>
  <si>
    <t>O024</t>
  </si>
  <si>
    <t>O025</t>
  </si>
  <si>
    <t>O026</t>
  </si>
  <si>
    <t>O027</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</si>
  <si>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</si>
  <si>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</si>
  <si>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</si>
  <si>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</si>
  <si>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</si>
  <si>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</si>
  <si>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</si>
  <si>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</si>
  <si>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</si>
  <si>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</si>
  <si>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</si>
  <si>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</si>
  <si>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</si>
  <si>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</si>
  <si>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</si>
  <si>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</si>
  <si>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</si>
  <si>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</si>
  <si>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</si>
  <si>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</si>
  <si>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</si>
  <si>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</si>
  <si>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</si>
  <si>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</si>
  <si>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</si>
  <si>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</si>
  <si>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</si>
  <si>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</si>
  <si>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</si>
  <si>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</si>
  <si>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</si>
  <si>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</si>
  <si>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</si>
  <si>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</si>
  <si>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</si>
  <si>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</si>
  <si>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</si>
  <si>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</si>
  <si>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</si>
  <si>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</si>
  <si>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</si>
  <si>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</si>
  <si>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</si>
  <si>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</si>
  <si>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</si>
  <si>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</si>
  <si>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</si>
  <si>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</si>
  <si>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</si>
  <si>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</si>
  <si>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</si>
  <si>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</si>
  <si>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</si>
  <si>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</si>
  <si>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</si>
  <si>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</si>
  <si>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</si>
  <si>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</si>
  <si>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</si>
  <si>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</si>
  <si>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</si>
  <si>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</si>
  <si>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O090</t>
  </si>
  <si>
    <t>O091</t>
  </si>
  <si>
    <t>O092</t>
  </si>
  <si>
    <t>O093</t>
  </si>
  <si>
    <t>O094</t>
  </si>
  <si>
    <t>O095</t>
  </si>
  <si>
    <t>O096</t>
  </si>
  <si>
    <t>O097</t>
  </si>
  <si>
    <t>O098</t>
  </si>
  <si>
    <t>O099</t>
  </si>
  <si>
    <t>O100</t>
  </si>
  <si>
    <t>O101</t>
  </si>
  <si>
    <t>O102</t>
  </si>
  <si>
    <t>O103</t>
  </si>
  <si>
    <t>O104</t>
  </si>
  <si>
    <t>O105</t>
  </si>
  <si>
    <t>O106</t>
  </si>
  <si>
    <t>O107</t>
  </si>
  <si>
    <t>O108</t>
  </si>
  <si>
    <t>O109</t>
  </si>
  <si>
    <t>O110</t>
  </si>
  <si>
    <t>O111</t>
  </si>
  <si>
    <t>O112</t>
  </si>
  <si>
    <t>O113</t>
  </si>
  <si>
    <t>O114</t>
  </si>
  <si>
    <t>O115</t>
  </si>
  <si>
    <t>O116</t>
  </si>
  <si>
    <t>O117</t>
  </si>
  <si>
    <t>O118</t>
  </si>
  <si>
    <t>O119</t>
  </si>
  <si>
    <t>O120</t>
  </si>
  <si>
    <t>O121</t>
  </si>
  <si>
    <t>O122</t>
  </si>
  <si>
    <t>O123</t>
  </si>
  <si>
    <t>O124</t>
  </si>
  <si>
    <t>O125</t>
  </si>
  <si>
    <t>O126</t>
  </si>
  <si>
    <t>O127</t>
  </si>
  <si>
    <t>O128</t>
  </si>
  <si>
    <t>O129</t>
  </si>
  <si>
    <t>O130</t>
  </si>
  <si>
    <t>O131</t>
  </si>
  <si>
    <t>O132</t>
  </si>
  <si>
    <t>O133</t>
  </si>
  <si>
    <t>O134</t>
  </si>
  <si>
    <t>O135</t>
  </si>
  <si>
    <t>O136</t>
  </si>
  <si>
    <t>O137</t>
  </si>
  <si>
    <t>O138</t>
  </si>
  <si>
    <t>O139</t>
  </si>
  <si>
    <t>O140</t>
  </si>
  <si>
    <t>O141</t>
  </si>
  <si>
    <t>O142</t>
  </si>
  <si>
    <t>O143</t>
  </si>
  <si>
    <t>O144</t>
  </si>
  <si>
    <t>O145</t>
  </si>
  <si>
    <t>O146</t>
  </si>
  <si>
    <t>O147</t>
  </si>
  <si>
    <t>O148</t>
  </si>
  <si>
    <t>O149</t>
  </si>
  <si>
    <t>O150</t>
  </si>
  <si>
    <t>Delivery Days</t>
  </si>
  <si>
    <t>Calculate the total Sales Amount for all sales in the Dhaka Region where the Sales Amount is greater than 50,000.</t>
  </si>
  <si>
    <t>Q.1</t>
  </si>
  <si>
    <t>Ans:</t>
  </si>
  <si>
    <t>Q:2</t>
  </si>
  <si>
    <r>
      <t xml:space="preserve">Calculate the total Sales Amount for the Laptop product in the Dhaka Region </t>
    </r>
    <r>
      <rPr>
        <b/>
        <sz val="12"/>
        <color theme="1"/>
        <rFont val="Calibri"/>
        <family val="2"/>
        <scheme val="minor"/>
      </rPr>
      <t>between 01-Jan-2026 and 31-Mar-2026,</t>
    </r>
    <r>
      <rPr>
        <sz val="12"/>
        <color theme="1"/>
        <rFont val="Calibri"/>
        <family val="2"/>
        <scheme val="minor"/>
      </rPr>
      <t xml:space="preserve"> where the Sales Amount is greater than 30,000.</t>
    </r>
  </si>
  <si>
    <t xml:space="preserve">Region </t>
  </si>
  <si>
    <t>Order Qty</t>
  </si>
  <si>
    <t>Unit Price</t>
  </si>
  <si>
    <t>Emp Name</t>
  </si>
  <si>
    <r>
      <rPr>
        <b/>
        <sz val="14"/>
        <color theme="1"/>
        <rFont val="Calibri"/>
        <family val="2"/>
        <scheme val="minor"/>
      </rPr>
      <t xml:space="preserve">Q:05
</t>
    </r>
    <r>
      <rPr>
        <sz val="11"/>
        <color theme="1"/>
        <rFont val="Calibri"/>
        <family val="2"/>
        <scheme val="minor"/>
      </rPr>
      <t>Count the number of employees who were Present in the IT Department during June 2026.</t>
    </r>
  </si>
  <si>
    <t>ANS:</t>
  </si>
  <si>
    <t>Order Status</t>
  </si>
  <si>
    <t>Delivery Priority</t>
  </si>
  <si>
    <r>
      <rPr>
        <b/>
        <sz val="18"/>
        <color theme="1"/>
        <rFont val="Calibri"/>
        <family val="2"/>
        <scheme val="minor"/>
      </rPr>
      <t xml:space="preserve">Q:3 </t>
    </r>
    <r>
      <rPr>
        <sz val="11"/>
        <color theme="1"/>
        <rFont val="Calibri"/>
        <family val="2"/>
        <scheme val="minor"/>
      </rPr>
      <t xml:space="preserve">
Using the Customer ID from the Customer Master sheet, retrieve the Customer Name and Region 
Additional Challenge:
If the Customer ID is not found, return "Customer Not Found".</t>
    </r>
  </si>
  <si>
    <r>
      <rPr>
        <b/>
        <sz val="14"/>
        <color theme="1"/>
        <rFont val="Calibri"/>
        <family val="2"/>
        <scheme val="minor"/>
      </rPr>
      <t>Q:04</t>
    </r>
    <r>
      <rPr>
        <sz val="11"/>
        <color theme="1"/>
        <rFont val="Calibri"/>
        <family val="2"/>
        <scheme val="minor"/>
      </rPr>
      <t xml:space="preserve"> 
 Using the Employee ID  retrieve the Employee Name, Department, and Salary from the Employee Master sheet.
</t>
    </r>
    <r>
      <rPr>
        <sz val="11"/>
        <color rgb="FFFF0000"/>
        <rFont val="Calibri"/>
        <family val="2"/>
        <scheme val="minor"/>
      </rPr>
      <t>Additional Challenges:</t>
    </r>
    <r>
      <rPr>
        <sz val="11"/>
        <color theme="1"/>
        <rFont val="Calibri"/>
        <family val="2"/>
        <scheme val="minor"/>
      </rPr>
      <t xml:space="preserve">
• If the Employee ID is not found, return "Invalid Employee ID".
• Return the Last Match for Salary.
</t>
    </r>
    <r>
      <rPr>
        <sz val="11"/>
        <color theme="8" tint="-0.249977111117893"/>
        <rFont val="Calibri"/>
        <family val="2"/>
        <scheme val="minor"/>
      </rPr>
      <t>Example:</t>
    </r>
    <r>
      <rPr>
        <sz val="11"/>
        <color theme="1"/>
        <rFont val="Calibri"/>
        <family val="2"/>
        <scheme val="minor"/>
      </rPr>
      <t xml:space="preserve">
If the same Employee ID appears multiple times in the Employee Master sheet, return the Salary from the last occurrence.</t>
    </r>
  </si>
  <si>
    <r>
      <rPr>
        <b/>
        <sz val="16"/>
        <color theme="1"/>
        <rFont val="Calibri"/>
        <family val="2"/>
        <scheme val="minor"/>
      </rPr>
      <t>Q:06</t>
    </r>
    <r>
      <rPr>
        <sz val="11"/>
        <color theme="1"/>
        <rFont val="Calibri"/>
        <family val="2"/>
        <scheme val="minor"/>
      </rPr>
      <t xml:space="preserve">
Find the highest Sales Amount for the Laptop product in the Dhaka Region.</t>
    </r>
  </si>
  <si>
    <r>
      <rPr>
        <b/>
        <sz val="18"/>
        <color theme="1"/>
        <rFont val="Calibri"/>
        <family val="2"/>
        <scheme val="minor"/>
      </rPr>
      <t>Q:07</t>
    </r>
    <r>
      <rPr>
        <sz val="11"/>
        <color theme="1"/>
        <rFont val="Calibri"/>
        <family val="2"/>
        <scheme val="minor"/>
      </rPr>
      <t xml:space="preserve">
Calculate the average Salary of Female employees in the HR Department who have more than 3 years of experience.</t>
    </r>
  </si>
  <si>
    <r>
      <rPr>
        <b/>
        <sz val="16"/>
        <color theme="1"/>
        <rFont val="Calibri"/>
        <family val="2"/>
        <scheme val="minor"/>
      </rPr>
      <t xml:space="preserve">Q:08
</t>
    </r>
    <r>
      <rPr>
        <b/>
        <sz val="11"/>
        <color theme="1"/>
        <rFont val="Calibri"/>
        <family val="2"/>
        <scheme val="minor"/>
      </rPr>
      <t>Fill Order Status</t>
    </r>
    <r>
      <rPr>
        <sz val="11"/>
        <color theme="1"/>
        <rFont val="Calibri"/>
        <family val="2"/>
        <scheme val="minor"/>
      </rPr>
      <t xml:space="preserve">
"High Value Order" if Units Sold &gt; 50 OR Total Sales &gt; 1,000,000 - Otherwise
"Normal Order"</t>
    </r>
  </si>
  <si>
    <r>
      <rPr>
        <b/>
        <sz val="20"/>
        <color theme="1"/>
        <rFont val="Calibri"/>
        <family val="2"/>
        <scheme val="minor"/>
      </rPr>
      <t>Q-09</t>
    </r>
    <r>
      <rPr>
        <sz val="11"/>
        <color theme="1"/>
        <rFont val="Calibri"/>
        <family val="2"/>
        <scheme val="minor"/>
      </rPr>
      <t xml:space="preserve">
</t>
    </r>
    <r>
      <rPr>
        <b/>
        <sz val="11"/>
        <color theme="1"/>
        <rFont val="Calibri"/>
        <family val="2"/>
        <scheme val="minor"/>
      </rPr>
      <t>Create a formula that returns:</t>
    </r>
    <r>
      <rPr>
        <sz val="11"/>
        <color theme="1"/>
        <rFont val="Calibri"/>
        <family val="2"/>
        <scheme val="minor"/>
      </rPr>
      <t xml:space="preserve">
 </t>
    </r>
    <r>
      <rPr>
        <sz val="11"/>
        <color rgb="FFFF0000"/>
        <rFont val="Calibri"/>
        <family val="2"/>
        <scheme val="minor"/>
      </rPr>
      <t>"Urgent" if Delivery Days ≤ 2</t>
    </r>
    <r>
      <rPr>
        <sz val="11"/>
        <color theme="1"/>
        <rFont val="Calibri"/>
        <family val="2"/>
        <scheme val="minor"/>
      </rPr>
      <t xml:space="preserve">
</t>
    </r>
    <r>
      <rPr>
        <sz val="11"/>
        <color theme="6" tint="-0.499984740745262"/>
        <rFont val="Calibri"/>
        <family val="2"/>
        <scheme val="minor"/>
      </rPr>
      <t>"Normal" if Delivery Days ≤ 5</t>
    </r>
    <r>
      <rPr>
        <sz val="11"/>
        <color theme="1"/>
        <rFont val="Calibri"/>
        <family val="2"/>
        <scheme val="minor"/>
      </rPr>
      <t xml:space="preserve">
</t>
    </r>
    <r>
      <rPr>
        <sz val="11"/>
        <color theme="3" tint="-0.249977111117893"/>
        <rFont val="Calibri"/>
        <family val="2"/>
        <scheme val="minor"/>
      </rPr>
      <t>"No Urgency" otherwise</t>
    </r>
  </si>
  <si>
    <t>Rt Name</t>
  </si>
  <si>
    <t>Model</t>
  </si>
  <si>
    <t>Installation Date</t>
  </si>
  <si>
    <t>Qty</t>
  </si>
  <si>
    <t>Year</t>
  </si>
  <si>
    <t>RT Type</t>
  </si>
  <si>
    <t>VMS</t>
  </si>
  <si>
    <t>VM</t>
  </si>
  <si>
    <t>Prithibi Corporation</t>
  </si>
  <si>
    <t>Galaxy A16</t>
  </si>
  <si>
    <t>Active</t>
  </si>
  <si>
    <t>Md. Ripon Ali</t>
  </si>
  <si>
    <t>Lokkhon Chowdhury</t>
  </si>
  <si>
    <t>Galaxy S25 Ultra</t>
  </si>
  <si>
    <t>Zihad Hasan</t>
  </si>
  <si>
    <t>RR Communications</t>
  </si>
  <si>
    <t>Excel Telecom, Pabna</t>
  </si>
  <si>
    <t>Imrul Kayes Asif</t>
  </si>
  <si>
    <t>J &amp; J Communication</t>
  </si>
  <si>
    <t>Idea Gadget</t>
  </si>
  <si>
    <t>Phone World</t>
  </si>
  <si>
    <t>Source Of Product</t>
  </si>
  <si>
    <t>Mobile World</t>
  </si>
  <si>
    <t>Sharifa Trade Center</t>
  </si>
  <si>
    <t>TK International</t>
  </si>
  <si>
    <t>Mobile Café</t>
  </si>
  <si>
    <t>New Style Mobile Shop</t>
  </si>
  <si>
    <t>Nodi Enterprise</t>
  </si>
  <si>
    <t>Fahim Mobile Palace</t>
  </si>
  <si>
    <t>Sobayta Telecom</t>
  </si>
  <si>
    <t>Touch Point &amp; Mobile Gallary</t>
  </si>
  <si>
    <t>Classic Electronics</t>
  </si>
  <si>
    <t>Sheba Business</t>
  </si>
  <si>
    <t>Self Point</t>
  </si>
  <si>
    <t>S.S Digital Complex</t>
  </si>
  <si>
    <t>Grameen Mobile Phone</t>
  </si>
  <si>
    <t>One Telecom</t>
  </si>
  <si>
    <t>Venus Electronics</t>
  </si>
  <si>
    <t>IG&amp;G</t>
  </si>
  <si>
    <t>Hello Point</t>
  </si>
  <si>
    <t>Lili Mobile Zone</t>
  </si>
  <si>
    <t>Khoka Store Plus Telecom</t>
  </si>
  <si>
    <t>Smart Point</t>
  </si>
  <si>
    <t>Wow Corporation</t>
  </si>
  <si>
    <t>Jaman Telecom</t>
  </si>
  <si>
    <t>Mobile Point</t>
  </si>
  <si>
    <t>J.K Smart Tel</t>
  </si>
  <si>
    <t>Samsung Smart Zone</t>
  </si>
  <si>
    <t>Zenith Mobile Palace</t>
  </si>
  <si>
    <t>Shilpi Mobile Corner</t>
  </si>
  <si>
    <t>Amin Mobile Corner</t>
  </si>
  <si>
    <t>Jalal Telecom</t>
  </si>
  <si>
    <t>Samsung Mobile Point</t>
  </si>
  <si>
    <t>Sumona Telecom</t>
  </si>
  <si>
    <t>Hallo Point_Mobile</t>
  </si>
  <si>
    <t>RN Digital</t>
  </si>
  <si>
    <t>Samsung Galaxy House</t>
  </si>
  <si>
    <t>Mahabub Traders</t>
  </si>
  <si>
    <t>M/S. Abrar Traders</t>
  </si>
  <si>
    <t>The Cell Store</t>
  </si>
  <si>
    <t>Moon Enterprise 2</t>
  </si>
  <si>
    <t>Sihab Telecom</t>
  </si>
  <si>
    <t>Mobile City</t>
  </si>
  <si>
    <t>Speed - Rajshahi</t>
  </si>
  <si>
    <t>Cell Mart</t>
  </si>
  <si>
    <t>Mobile Clinic</t>
  </si>
  <si>
    <t>SM Mobile</t>
  </si>
  <si>
    <t>Amir Mobile Galary</t>
  </si>
  <si>
    <t>Labonno Multimedia</t>
  </si>
  <si>
    <t>Padma Mobile</t>
  </si>
  <si>
    <t>Smart Zone</t>
  </si>
  <si>
    <t>AB Telepathy</t>
  </si>
  <si>
    <t>Galaxy A06</t>
  </si>
  <si>
    <t>Tanvir Telecom</t>
  </si>
  <si>
    <t>Plus Point Computer</t>
  </si>
  <si>
    <t>Juel Mobile Corner</t>
  </si>
  <si>
    <t>New Nahi Telecom</t>
  </si>
  <si>
    <t>Shahi Telecom</t>
  </si>
  <si>
    <t>Shohag Mobile Centre</t>
  </si>
  <si>
    <t>Smart Telecom</t>
  </si>
  <si>
    <t>Samsung Gallery</t>
  </si>
  <si>
    <t>AR Telecom</t>
  </si>
  <si>
    <t>Compact Link</t>
  </si>
  <si>
    <t>Famous Mobile</t>
  </si>
  <si>
    <t>Mahbub Telecom</t>
  </si>
  <si>
    <t>Sarkar Smart Gallery</t>
  </si>
  <si>
    <t xml:space="preserve">SP Smart Mobile  Zone </t>
  </si>
  <si>
    <t>Galaxy A26</t>
  </si>
  <si>
    <t>Zillani Mobile-2</t>
  </si>
  <si>
    <t>Imran Electronics</t>
  </si>
  <si>
    <t>Galaxy A07</t>
  </si>
  <si>
    <t>Galaxy A36</t>
  </si>
  <si>
    <t>Galaxy A56</t>
  </si>
  <si>
    <t>M/S Riyad Store</t>
  </si>
  <si>
    <t xml:space="preserve">Electronics Park </t>
  </si>
  <si>
    <t>Irin Telecom</t>
  </si>
  <si>
    <t>Omar Electronics</t>
  </si>
  <si>
    <t>Hello Salanga</t>
  </si>
  <si>
    <t>Sony Electronics</t>
  </si>
  <si>
    <t>Shafique Telecom</t>
  </si>
  <si>
    <t>Dubai Mobile</t>
  </si>
  <si>
    <t>Lamiya Electronics</t>
  </si>
  <si>
    <t>SMS Gadget</t>
  </si>
  <si>
    <t>Sopon Elect.</t>
  </si>
  <si>
    <t>Bismillah Telecom</t>
  </si>
  <si>
    <t>Uttar Bongo Telecom</t>
  </si>
  <si>
    <t>Galaxy A17</t>
  </si>
  <si>
    <t>Pabna Dot Telecom</t>
  </si>
  <si>
    <t>Galaxy S25 FE</t>
  </si>
  <si>
    <t>Islam Telecom</t>
  </si>
  <si>
    <t>Multimedia</t>
  </si>
  <si>
    <t>Tuhin Mobile Center</t>
  </si>
  <si>
    <t>Khan Telecom</t>
  </si>
  <si>
    <t>Bonolata Mobile</t>
  </si>
  <si>
    <t>Hanif Electronices</t>
  </si>
  <si>
    <t>Tanzim Telecom</t>
  </si>
  <si>
    <t>New Gadget Point</t>
  </si>
  <si>
    <t>Hello Bonpara</t>
  </si>
  <si>
    <t>Snigdha Mobile</t>
  </si>
  <si>
    <t>HM Telecom</t>
  </si>
  <si>
    <t>Zillani Mobile Center</t>
  </si>
  <si>
    <t>Saha Enterprise</t>
  </si>
  <si>
    <t>Cooling Point</t>
  </si>
  <si>
    <t>Ashfika telecom</t>
  </si>
  <si>
    <t>Bappy Telecom</t>
  </si>
  <si>
    <t>Dighi Telecom</t>
  </si>
  <si>
    <t xml:space="preserve">Sony Electronics </t>
  </si>
  <si>
    <t>Galaxy S26 Ultra</t>
  </si>
  <si>
    <t>Galaxy Tab A11</t>
  </si>
  <si>
    <t>Galaxy A37</t>
  </si>
  <si>
    <t>Electronics Park</t>
  </si>
  <si>
    <t>Sabbir Telecom</t>
  </si>
  <si>
    <t>Galaxy A57</t>
  </si>
  <si>
    <t>Galaxy M06</t>
  </si>
  <si>
    <t>Zaman's Gadget</t>
  </si>
  <si>
    <t xml:space="preserve">Pabna Dot Telecom </t>
  </si>
  <si>
    <t>RT Code</t>
  </si>
  <si>
    <t>RT-01</t>
  </si>
  <si>
    <t>RT-03</t>
  </si>
  <si>
    <t>RT-04</t>
  </si>
  <si>
    <t>RT-05</t>
  </si>
  <si>
    <t>RT-07</t>
  </si>
  <si>
    <t>RT-08</t>
  </si>
  <si>
    <t>RT-09</t>
  </si>
  <si>
    <t>RT-10</t>
  </si>
  <si>
    <t>RT-11</t>
  </si>
  <si>
    <t>RT-12</t>
  </si>
  <si>
    <t>RT-13</t>
  </si>
  <si>
    <t>RT-14</t>
  </si>
  <si>
    <t>RT-15</t>
  </si>
  <si>
    <t>RT-16</t>
  </si>
  <si>
    <t>RT-17</t>
  </si>
  <si>
    <t>RT-18</t>
  </si>
  <si>
    <t>RT-19</t>
  </si>
  <si>
    <t>RT-20</t>
  </si>
  <si>
    <t>RT-21</t>
  </si>
  <si>
    <t>RT-22</t>
  </si>
  <si>
    <t>RT-23</t>
  </si>
  <si>
    <t>RT-24</t>
  </si>
  <si>
    <t>RT-25</t>
  </si>
  <si>
    <t>RT-26</t>
  </si>
  <si>
    <t>RT-27</t>
  </si>
  <si>
    <t>RT-29</t>
  </si>
  <si>
    <t>RT-30</t>
  </si>
  <si>
    <t>RT-31</t>
  </si>
  <si>
    <t>RT-32</t>
  </si>
  <si>
    <t>RT-33</t>
  </si>
  <si>
    <t>RT-34</t>
  </si>
  <si>
    <t>RT-35</t>
  </si>
  <si>
    <t>RT-36</t>
  </si>
  <si>
    <t>RT-37</t>
  </si>
  <si>
    <t>RT-38</t>
  </si>
  <si>
    <t>RT-39</t>
  </si>
  <si>
    <t>RT-40</t>
  </si>
  <si>
    <t>RT-41</t>
  </si>
  <si>
    <t>RT-42</t>
  </si>
  <si>
    <t>RT-43</t>
  </si>
  <si>
    <t>RT-44</t>
  </si>
  <si>
    <t>RT-45</t>
  </si>
  <si>
    <t>RT-46</t>
  </si>
  <si>
    <t>RT-47</t>
  </si>
  <si>
    <t>RT-48</t>
  </si>
  <si>
    <t>RT-49</t>
  </si>
  <si>
    <t>RT-50</t>
  </si>
  <si>
    <t>RT-51</t>
  </si>
  <si>
    <t>RT-52</t>
  </si>
  <si>
    <t>RT-53</t>
  </si>
  <si>
    <t>RT-54</t>
  </si>
  <si>
    <t>RT-55</t>
  </si>
  <si>
    <t>RT-56</t>
  </si>
  <si>
    <t>RT-57</t>
  </si>
  <si>
    <t>RT-58</t>
  </si>
  <si>
    <t>RT-59</t>
  </si>
  <si>
    <t>RT-60</t>
  </si>
  <si>
    <t>RT-61</t>
  </si>
  <si>
    <t>RT-62</t>
  </si>
  <si>
    <t>RT-63</t>
  </si>
  <si>
    <t>RT-64</t>
  </si>
  <si>
    <t>RT-65</t>
  </si>
  <si>
    <t>RT-66</t>
  </si>
  <si>
    <t>RT-67</t>
  </si>
  <si>
    <t>RT-68</t>
  </si>
  <si>
    <t>RT-69</t>
  </si>
  <si>
    <t>RT-70</t>
  </si>
  <si>
    <t>RT-71</t>
  </si>
  <si>
    <t>RT-72</t>
  </si>
  <si>
    <t>RT-73</t>
  </si>
  <si>
    <t>RT-74</t>
  </si>
  <si>
    <t>RT-75</t>
  </si>
  <si>
    <t>RT-78</t>
  </si>
  <si>
    <t>RT-79</t>
  </si>
  <si>
    <t>RT-80</t>
  </si>
  <si>
    <t>RT-81</t>
  </si>
  <si>
    <t>RT-82</t>
  </si>
  <si>
    <t>RT-83</t>
  </si>
  <si>
    <t>RT-84</t>
  </si>
  <si>
    <t>RT-85</t>
  </si>
  <si>
    <t>RT-86</t>
  </si>
  <si>
    <t>RT-87</t>
  </si>
  <si>
    <t>RT-88</t>
  </si>
  <si>
    <t>RT-89</t>
  </si>
  <si>
    <t>RT-90</t>
  </si>
  <si>
    <t>RT-91</t>
  </si>
  <si>
    <t>RT-92</t>
  </si>
  <si>
    <t>RT-93</t>
  </si>
  <si>
    <t>RT-94</t>
  </si>
  <si>
    <t>RT-96</t>
  </si>
  <si>
    <t>RT-97</t>
  </si>
  <si>
    <t>RT-98</t>
  </si>
  <si>
    <t>RT-99</t>
  </si>
  <si>
    <t>RT-100</t>
  </si>
  <si>
    <t>RT-101</t>
  </si>
  <si>
    <t>RT-102</t>
  </si>
  <si>
    <t>RT-103</t>
  </si>
  <si>
    <t>RT-104</t>
  </si>
  <si>
    <t>RT-105</t>
  </si>
  <si>
    <t>RT-106</t>
  </si>
  <si>
    <t>RT-107</t>
  </si>
  <si>
    <t>RT-108</t>
  </si>
  <si>
    <t>RT-109</t>
  </si>
  <si>
    <t>RT-110</t>
  </si>
  <si>
    <t>RT-111</t>
  </si>
  <si>
    <t>RT-112</t>
  </si>
  <si>
    <t>RT-113</t>
  </si>
  <si>
    <t>RT-114</t>
  </si>
  <si>
    <t>RT-115</t>
  </si>
  <si>
    <t>Premium</t>
  </si>
  <si>
    <t>Normal</t>
  </si>
  <si>
    <t>Standard</t>
  </si>
  <si>
    <t>Sum of Qty</t>
  </si>
  <si>
    <t>Dubai Mobile Total</t>
  </si>
  <si>
    <t>SMS Gadget Total</t>
  </si>
  <si>
    <t>Pabna Dot Telecom Total</t>
  </si>
  <si>
    <t>Pabna Dot Telecom  Total</t>
  </si>
  <si>
    <t>Excel Telecom, Pabna Total</t>
  </si>
  <si>
    <t>Zenith Mobile Palace Total</t>
  </si>
  <si>
    <t>Jalal Telecom Total</t>
  </si>
  <si>
    <t>S.S Digital Complex Total</t>
  </si>
  <si>
    <t>J.K Smart Tel Total</t>
  </si>
  <si>
    <t>Tanvir Telecom Total</t>
  </si>
  <si>
    <t>One Telecom Total</t>
  </si>
  <si>
    <t>Islam Telecom Total</t>
  </si>
  <si>
    <t>Grameen Mobile Phone Total</t>
  </si>
  <si>
    <t>Sopon Elect. Total</t>
  </si>
  <si>
    <t>Venus Electronics Total</t>
  </si>
  <si>
    <t>Lamiya Electronics Total</t>
  </si>
  <si>
    <t>Multimedia Total</t>
  </si>
  <si>
    <t>Imran Electronics Total</t>
  </si>
  <si>
    <t>Samsung Gallery Total</t>
  </si>
  <si>
    <t>Amin Mobile Corner Total</t>
  </si>
  <si>
    <t>Juel Mobile Corner Total</t>
  </si>
  <si>
    <t>Hello Salanga Total</t>
  </si>
  <si>
    <t>Sumona Telecom Total</t>
  </si>
  <si>
    <t>Omar Electronics Total</t>
  </si>
  <si>
    <t>Shilpi Mobile Corner Total</t>
  </si>
  <si>
    <t>Samsung Mobile Point Total</t>
  </si>
  <si>
    <t>Sony Electronics Total</t>
  </si>
  <si>
    <t>Sony Electronics  Total</t>
  </si>
  <si>
    <t>Bismillah Telecom Total</t>
  </si>
  <si>
    <t>Samsung Smart Zone Total</t>
  </si>
  <si>
    <t>Shafique Telecom Total</t>
  </si>
  <si>
    <t>IG&amp;G Total</t>
  </si>
  <si>
    <t>Plus Point Computer Total</t>
  </si>
  <si>
    <t>Mahbub Telecom Total</t>
  </si>
  <si>
    <t>Electronics Park Total</t>
  </si>
  <si>
    <t>Electronics Park  Total</t>
  </si>
  <si>
    <t>Saha Enterprise Total</t>
  </si>
  <si>
    <t>Prithibi Corporation Total</t>
  </si>
  <si>
    <t>Padma Mobile Total</t>
  </si>
  <si>
    <t>Speed - Rajshahi Total</t>
  </si>
  <si>
    <t>Smart Zone Total</t>
  </si>
  <si>
    <t>The Cell Store Total</t>
  </si>
  <si>
    <t>Mobile Clinic Total</t>
  </si>
  <si>
    <t>Sihab Telecom Total</t>
  </si>
  <si>
    <t>Moon Enterprise 2 Total</t>
  </si>
  <si>
    <t>Compact Link Total</t>
  </si>
  <si>
    <t>Mobile World Total</t>
  </si>
  <si>
    <t>Zillani Mobile Center Total</t>
  </si>
  <si>
    <t>Tuhin Mobile Center Total</t>
  </si>
  <si>
    <t>Dighi Telecom Total</t>
  </si>
  <si>
    <t>Bonolata Mobile Total</t>
  </si>
  <si>
    <t>Amir Mobile Galary Total</t>
  </si>
  <si>
    <t>SM Mobile Total</t>
  </si>
  <si>
    <t>AB Telepathy Total</t>
  </si>
  <si>
    <t>Famous Mobile Total</t>
  </si>
  <si>
    <t>Cell Mart Total</t>
  </si>
  <si>
    <t>Mobile City Total</t>
  </si>
  <si>
    <t>Smart Telecom Total</t>
  </si>
  <si>
    <t>Labonno Multimedia Total</t>
  </si>
  <si>
    <t>Hello Bonpara Total</t>
  </si>
  <si>
    <t>Zillani Mobile-2 Total</t>
  </si>
  <si>
    <t>Mobile Point Total</t>
  </si>
  <si>
    <t>Uttar Bongo Telecom Total</t>
  </si>
  <si>
    <t>Ashfika telecom Total</t>
  </si>
  <si>
    <t>Hallo Point_Mobile Total</t>
  </si>
  <si>
    <t>Hello Point Total</t>
  </si>
  <si>
    <t>Nodi Enterprise Total</t>
  </si>
  <si>
    <t>Classic Electronics Total</t>
  </si>
  <si>
    <t>Sarkar Smart Gallery Total</t>
  </si>
  <si>
    <t>Touch Point &amp; Mobile Gallary Total</t>
  </si>
  <si>
    <t>Fahim Mobile Palace Total</t>
  </si>
  <si>
    <t>J &amp; J Communication Total</t>
  </si>
  <si>
    <t>Sheba Business Total</t>
  </si>
  <si>
    <t>Shahi Telecom Total</t>
  </si>
  <si>
    <t>Cooling Point Total</t>
  </si>
  <si>
    <t>AR Telecom Total</t>
  </si>
  <si>
    <t>Khan Telecom Total</t>
  </si>
  <si>
    <t>Jaman Telecom Total</t>
  </si>
  <si>
    <t>Lili Mobile Zone Total</t>
  </si>
  <si>
    <t>New Nahi Telecom Total</t>
  </si>
  <si>
    <t>Khoka Store Plus Telecom Total</t>
  </si>
  <si>
    <t>Mahabub Traders Total</t>
  </si>
  <si>
    <t>Shohag Mobile Centre Total</t>
  </si>
  <si>
    <t>M/S. Abrar Traders Total</t>
  </si>
  <si>
    <t>Irin Telecom Total</t>
  </si>
  <si>
    <t>Idea Gadget Total</t>
  </si>
  <si>
    <t>TK International Total</t>
  </si>
  <si>
    <t>Sharifa Trade Center Total</t>
  </si>
  <si>
    <t>RR Communications Total</t>
  </si>
  <si>
    <t>Phone World Total</t>
  </si>
  <si>
    <t>Hanif Electronices Total</t>
  </si>
  <si>
    <t>Samsung Galaxy House Total</t>
  </si>
  <si>
    <t>Self Point Total</t>
  </si>
  <si>
    <t>Tanzim Telecom Total</t>
  </si>
  <si>
    <t>Bappy Telecom Total</t>
  </si>
  <si>
    <t>Source Of Product Total</t>
  </si>
  <si>
    <t>Wow Corporation Total</t>
  </si>
  <si>
    <t>Sobayta Telecom Total</t>
  </si>
  <si>
    <t>Smart Point Total</t>
  </si>
  <si>
    <t>RN Digital Total</t>
  </si>
  <si>
    <t>Sabbir Telecom Total</t>
  </si>
  <si>
    <t>New Style Mobile Shop Total</t>
  </si>
  <si>
    <t>New Gadget Point Total</t>
  </si>
  <si>
    <t>Mobile Café Total</t>
  </si>
  <si>
    <t>Zaman's Gadget Total</t>
  </si>
  <si>
    <t>Snigdha Mobile Total</t>
  </si>
  <si>
    <t>SP Smart Mobile  Zone  Total</t>
  </si>
  <si>
    <t>HM Telecom Total</t>
  </si>
  <si>
    <t>M/S Riyad Store Total</t>
  </si>
  <si>
    <t>Zihad Hasan Total</t>
  </si>
  <si>
    <t>Grand Total</t>
  </si>
  <si>
    <r>
      <rPr>
        <b/>
        <sz val="18"/>
        <color theme="1"/>
        <rFont val="Calibri"/>
        <family val="2"/>
        <scheme val="minor"/>
      </rPr>
      <t>Q:10</t>
    </r>
    <r>
      <rPr>
        <sz val="11"/>
        <color theme="1"/>
        <rFont val="Calibri"/>
        <family val="2"/>
        <scheme val="minor"/>
      </rPr>
      <t xml:space="preserve">
Create a VM-wise report that provides a detailed breakdown of RT Retails. The report should answer the following questions:
How many Live Demo units are available under each VM?
What is the total quantity available in each retail outlet?
Which product models are available in each retail outlet?
Which VM has the highest number of Live Demo units?
Which product model has the highest quantity across all retail outlets?
Create a Pivot Table Dashboard that allows users to analyze Live Demo counts, quantities, and model-wise distribution by VM and Retail Outlet.
</t>
    </r>
    <r>
      <rPr>
        <b/>
        <sz val="11"/>
        <color theme="1"/>
        <rFont val="Calibri"/>
        <family val="2"/>
        <scheme val="minor"/>
      </rPr>
      <t>You may take help from AI tools to solve this Question 10</t>
    </r>
  </si>
  <si>
    <t>Selected Item with no data = Red fill</t>
  </si>
  <si>
    <t>Unselected Item with no data = Red font</t>
  </si>
  <si>
    <t>Slicer Setting</t>
  </si>
  <si>
    <t>Selected Item with data = Pale Blue fill</t>
  </si>
  <si>
    <t>Imrul Kayes Asif Total</t>
  </si>
  <si>
    <t>Lokkhon Chowdhury Total</t>
  </si>
  <si>
    <t>I have created a VM-wise report that provides a detailed breakdown of RT Details, including the number of Live Demos, available quantities in each retail outlet and the corresponding product models, featuring an interactive Pivot Table Dashboard with VM, RT Name and Model slicers for effortless analysis.</t>
  </si>
  <si>
    <t xml:space="preserve"> =SUMIFS(Table4[Sales Amount],Table4[Region],"Dhaka",Table4[Sales Amount],"&gt;50000")</t>
  </si>
  <si>
    <t>Formula:</t>
  </si>
  <si>
    <t xml:space="preserve"> Formula: </t>
  </si>
  <si>
    <t xml:space="preserve"> =SUMIFS(Table5[Sales Amount],Table5[Product],"Laptop",Table5[Region],"Dhaka",Table5[Date],"&gt;="&amp;DATE(2026,1,1),Table5[Date],"&lt;="&amp;DATE(2026,3,31),Table5[Sales Amount],"&gt;30000")</t>
  </si>
  <si>
    <t xml:space="preserve"> =XLOOKUP([@[Customer ID]],Customer_master[Customer ID],Customer_master[Customer Name],"Customer Not Found")</t>
  </si>
  <si>
    <t>Customer-Name:</t>
  </si>
  <si>
    <t xml:space="preserve"> =XLOOKUP([@[Customer ID]],Customer_master[Customer ID],Customer_master[Region],"Customer Not Found")</t>
  </si>
  <si>
    <t>Region:</t>
  </si>
  <si>
    <r>
      <rPr>
        <sz val="11"/>
        <color theme="9"/>
        <rFont val="Calibri"/>
        <family val="2"/>
        <scheme val="minor"/>
      </rPr>
      <t xml:space="preserve"> Emp Name: </t>
    </r>
    <r>
      <rPr>
        <sz val="11"/>
        <color theme="1"/>
        <rFont val="Calibri"/>
        <family val="2"/>
        <scheme val="minor"/>
      </rPr>
      <t>=XLOOKUP([@[Employee ID]],EmployeeMaster[Employee ID],EmployeeMaster[Employee Name],"Invalid Employee ID")</t>
    </r>
  </si>
  <si>
    <r>
      <rPr>
        <sz val="11"/>
        <color theme="9"/>
        <rFont val="Calibri"/>
        <family val="2"/>
        <scheme val="minor"/>
      </rPr>
      <t xml:space="preserve"> Dept:</t>
    </r>
    <r>
      <rPr>
        <sz val="11"/>
        <color theme="1"/>
        <rFont val="Calibri"/>
        <family val="2"/>
        <scheme val="minor"/>
      </rPr>
      <t xml:space="preserve"> =XLOOKUP([@[Employee ID]],EmployeeMaster[Employee ID],EmployeeMaster[Department],"Invalid Employee ID")</t>
    </r>
  </si>
  <si>
    <r>
      <rPr>
        <sz val="11"/>
        <color theme="9"/>
        <rFont val="Calibri"/>
        <family val="2"/>
        <scheme val="minor"/>
      </rPr>
      <t xml:space="preserve"> Salary: </t>
    </r>
    <r>
      <rPr>
        <sz val="11"/>
        <color theme="1"/>
        <rFont val="Calibri"/>
        <family val="2"/>
        <scheme val="minor"/>
      </rPr>
      <t>=XLOOKUP([@[Employee ID]],EmployeeMaster[Employee ID],EmployeeMaster[Salary],"Invalid Employee ID",0,-1)</t>
    </r>
  </si>
  <si>
    <r>
      <rPr>
        <sz val="11"/>
        <color theme="9"/>
        <rFont val="Calibri"/>
        <family val="2"/>
        <scheme val="minor"/>
      </rPr>
      <t xml:space="preserve"> Formula:</t>
    </r>
    <r>
      <rPr>
        <sz val="11"/>
        <color theme="1"/>
        <rFont val="Calibri"/>
        <family val="2"/>
        <scheme val="minor"/>
      </rPr>
      <t xml:space="preserve"> =COUNTIFS(Table11[Status],"Present",Table11[Department],"IT",Table11[Date],"&gt;="&amp;DATE(2026,6,1),Table11[Date],"&lt;="&amp;DATE(2026,6,30))</t>
    </r>
  </si>
  <si>
    <r>
      <rPr>
        <sz val="11"/>
        <color theme="9"/>
        <rFont val="Calibri"/>
        <family val="2"/>
        <scheme val="minor"/>
      </rPr>
      <t xml:space="preserve"> Formula:</t>
    </r>
    <r>
      <rPr>
        <sz val="11"/>
        <color theme="1"/>
        <rFont val="Calibri"/>
        <family val="2"/>
        <scheme val="minor"/>
      </rPr>
      <t xml:space="preserve"> =MAXIFS(Table12[Sales Amount],Table12[Product],"Laptop",Table12[Region],"Dhaka")</t>
    </r>
  </si>
  <si>
    <r>
      <t xml:space="preserve"> </t>
    </r>
    <r>
      <rPr>
        <sz val="11"/>
        <color theme="9"/>
        <rFont val="Calibri"/>
        <family val="2"/>
        <scheme val="minor"/>
      </rPr>
      <t>Formula:</t>
    </r>
    <r>
      <rPr>
        <sz val="11"/>
        <color theme="1"/>
        <rFont val="Calibri"/>
        <family val="2"/>
        <scheme val="minor"/>
      </rPr>
      <t xml:space="preserve"> =AVERAGEIFS(Table13[Salary],Table13[Gender],"Female",Table13[Department],"HR",Table13[Experience],"&gt;3")</t>
    </r>
  </si>
  <si>
    <r>
      <rPr>
        <sz val="11"/>
        <color theme="9"/>
        <rFont val="Calibri"/>
        <family val="2"/>
        <scheme val="minor"/>
      </rPr>
      <t>Formula:</t>
    </r>
    <r>
      <rPr>
        <sz val="11"/>
        <color theme="1"/>
        <rFont val="Calibri"/>
        <family val="2"/>
        <scheme val="minor"/>
      </rPr>
      <t xml:space="preserve"> =IF(OR(B2&gt;50,C2&gt;1000000),"High Value Order","Normal Order")</t>
    </r>
  </si>
  <si>
    <r>
      <rPr>
        <sz val="11"/>
        <color theme="9"/>
        <rFont val="Calibri"/>
        <family val="2"/>
        <scheme val="minor"/>
      </rPr>
      <t>Formula:</t>
    </r>
    <r>
      <rPr>
        <sz val="11"/>
        <color theme="1"/>
        <rFont val="Calibri"/>
        <family val="2"/>
        <scheme val="minor"/>
      </rPr>
      <t xml:space="preserve"> =IFS(B2&lt;=2,"Urgent",B2&lt;=5,"Normal",B2&gt;5,"No Urgency")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</si>
</sst>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409]d/mmm/yy;@"/>
  </numFmts>
  <fonts count="31"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1"/>
      <name val="Calibri"/>
      <family val="2"/>
    </font>
    <font>
      <sz val="12"/>
      <color theme="1"/>
      <name val="Calibri"/>
      <family val="2"/>
      <scheme val="minor"/>
    </font>
    <font>
      <sz val="14"/>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8"/>
      <color theme="1"/>
      <name val="Calibri"/>
      <family val="2"/>
      <scheme val="minor"/>
    </font>
    <font>
      <b/>
      <sz val="18"/>
      <color theme="1"/>
      <name val="Calibri"/>
      <family val="2"/>
      <scheme val="minor"/>
    </font>
    <font>
      <b/>
      <sz val="20"/>
      <color theme="1"/>
      <name val="Calibri"/>
      <family val="2"/>
      <scheme val="minor"/>
    </font>
    <font>
      <sz val="11"/>
      <color theme="6" tint="-0.499984740745262"/>
      <name val="Calibri"/>
      <family val="2"/>
      <scheme val="minor"/>
    </font>
    <font>
      <sz val="11"/>
      <color theme="8" tint="-0.249977111117893"/>
      <name val="Calibri"/>
      <family val="2"/>
      <scheme val="minor"/>
    </font>
    <font>
      <sz val="11"/>
      <color theme="3" tint="-0.249977111117893"/>
      <name val="Calibri"/>
      <family val="2"/>
      <scheme val="minor"/>
    </font>
    <font>
      <sz val="11"/>
      <color rgb="FF000000"/>
      <name val="Calibri"/>
      <family val="2"/>
    </font>
    <font>
      <sz val="11"/>
      <name val="Calibri"/>
      <family val="2"/>
    </font>
    <font>
      <sz val="10"/>
      <name val="Tahoma"/>
      <family val="2"/>
    </font>
    <font>
      <sz val="11"/>
      <color rgb="FF000000"/>
      <name val="Calibri"/>
      <family val="2"/>
      <scheme val="minor"/>
    </font>
    <font>
      <sz val="10"/>
      <color rgb="FF0C0C0C"/>
      <name val="Tahoma"/>
      <family val="2"/>
    </font>
    <font>
      <sz val="10"/>
      <color theme="1"/>
      <name val="Tahoma"/>
      <family val="2"/>
    </font>
    <font>
      <sz val="8"/>
      <name val="Calibri"/>
      <family val="2"/>
      <scheme val="minor"/>
    </font>
    <font>
      <b/>
      <sz val="11"/>
      <color theme="0"/>
      <name val="Calibri"/>
      <family val="2"/>
    </font>
    <font>
      <b/>
      <sz val="11"/>
      <name val="Calibri"/>
      <family val="2"/>
      <scheme val="minor"/>
    </font>
    <font>
      <i/>
      <sz val="12"/>
      <color theme="1"/>
      <name val="Calibri"/>
      <family val="2"/>
      <scheme val="minor"/>
    </font>
    <font>
      <sz val="12"/>
      <color rgb="FFFF0000"/>
      <name val="Calibri"/>
      <family val="2"/>
      <scheme val="minor"/>
    </font>
    <font>
      <b/>
      <sz val="12"/>
      <color rgb="FF00B050"/>
      <name val="Calibri"/>
      <family val="2"/>
      <scheme val="minor"/>
    </font>
    <font>
      <sz val="12"/>
      <color theme="9"/>
      <name val="Calibri"/>
      <family val="2"/>
      <scheme val="minor"/>
    </font>
    <font>
      <sz val="11"/>
      <color theme="9"/>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5"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s>
  <cellStyleXfs count="3">
    <xf numFmtId="0" fontId="0" fillId="0" borderId="0"/>
    <xf numFmtId="0" fontId="18" fillId="0" borderId="0">
      <protection locked="0"/>
    </xf>
    <xf numFmtId="43" fontId="1" fillId="0" borderId="0" applyFont="0" applyFill="0" applyBorder="0" applyAlignment="0" applyProtection="0"/>
  </cellStyleXfs>
  <cellXfs count="152">
    <xf numFmtId="0" fontId="0" fillId="0" borderId="0" xfId="0"/>
    <xf numFmtId="14" fontId="0" fillId="0" borderId="0" xfId="0" applyNumberFormat="1"/>
    <xf numFmtId="14" fontId="0" fillId="0" borderId="0" xfId="0" applyNumberFormat="1" applyAlignment="1">
      <alignment horizontal="left"/>
    </xf>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left" vertical="center"/>
    </xf>
    <xf numFmtId="0" fontId="6" fillId="0" borderId="0" xfId="0" applyFont="1"/>
    <xf numFmtId="0" fontId="0" fillId="0" borderId="0" xfId="0" applyAlignment="1">
      <alignment horizontal="left" vertical="center"/>
    </xf>
    <xf numFmtId="14" fontId="0" fillId="0" borderId="0" xfId="0" applyNumberFormat="1" applyAlignment="1">
      <alignment horizontal="left" vertical="center"/>
    </xf>
    <xf numFmtId="0" fontId="0" fillId="0" borderId="0" xfId="0" applyAlignment="1">
      <alignment horizontal="left" vertical="center" wrapText="1"/>
    </xf>
    <xf numFmtId="0" fontId="0" fillId="0" borderId="1" xfId="0" applyBorder="1"/>
    <xf numFmtId="0" fontId="0" fillId="0" borderId="0" xfId="0" applyAlignment="1">
      <alignment vertical="center"/>
    </xf>
    <xf numFmtId="0" fontId="0" fillId="0" borderId="1" xfId="0" applyBorder="1" applyAlignment="1">
      <alignment vertical="center"/>
    </xf>
    <xf numFmtId="0" fontId="0" fillId="4" borderId="1" xfId="0" applyFill="1" applyBorder="1" applyAlignment="1">
      <alignment vertical="center"/>
    </xf>
    <xf numFmtId="0" fontId="0" fillId="4" borderId="1" xfId="0" applyFill="1" applyBorder="1"/>
    <xf numFmtId="0" fontId="4" fillId="3" borderId="1" xfId="0" applyFont="1" applyFill="1" applyBorder="1" applyAlignment="1">
      <alignment horizontal="left"/>
    </xf>
    <xf numFmtId="0" fontId="0" fillId="6" borderId="1" xfId="0" applyFill="1" applyBorder="1" applyAlignment="1">
      <alignment horizontal="left"/>
    </xf>
    <xf numFmtId="0" fontId="0" fillId="0" borderId="1" xfId="0" applyBorder="1" applyAlignment="1">
      <alignment horizontal="center"/>
    </xf>
    <xf numFmtId="0" fontId="4" fillId="3" borderId="1" xfId="0" applyFont="1" applyFill="1" applyBorder="1" applyAlignment="1">
      <alignment horizontal="center"/>
    </xf>
    <xf numFmtId="0" fontId="0" fillId="4" borderId="1" xfId="0" applyFill="1" applyBorder="1" applyAlignment="1">
      <alignment horizontal="center"/>
    </xf>
    <xf numFmtId="0" fontId="17" fillId="0" borderId="1" xfId="0" applyFont="1" applyBorder="1" applyAlignment="1">
      <alignment horizontal="center" vertical="center"/>
    </xf>
    <xf numFmtId="164" fontId="17" fillId="0" borderId="1" xfId="0" applyNumberFormat="1" applyFont="1" applyBorder="1" applyAlignment="1">
      <alignment horizontal="center" vertical="center"/>
    </xf>
    <xf numFmtId="14" fontId="17" fillId="0" borderId="1" xfId="0" applyNumberFormat="1" applyFont="1" applyBorder="1"/>
    <xf numFmtId="0" fontId="17" fillId="0" borderId="1" xfId="0" applyFont="1" applyBorder="1"/>
    <xf numFmtId="14" fontId="17" fillId="0" borderId="1" xfId="0" applyNumberFormat="1" applyFont="1" applyBorder="1" applyAlignment="1">
      <alignment horizontal="center" vertical="center"/>
    </xf>
    <xf numFmtId="0" fontId="19" fillId="0" borderId="1" xfId="0" applyFont="1" applyBorder="1" applyAlignment="1">
      <alignment horizontal="left" vertical="center"/>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5" fillId="0" borderId="1" xfId="1" applyFont="1" applyBorder="1" applyAlignment="1" applyProtection="1">
      <alignment horizontal="center" vertical="center"/>
    </xf>
    <xf numFmtId="0" fontId="22" fillId="0" borderId="1" xfId="1" applyFont="1" applyBorder="1" applyAlignment="1" applyProtection="1">
      <alignment horizontal="center" vertical="center"/>
    </xf>
    <xf numFmtId="0" fontId="17" fillId="0" borderId="12" xfId="0" applyFont="1" applyBorder="1"/>
    <xf numFmtId="0" fontId="17" fillId="0" borderId="12" xfId="0" applyFont="1" applyBorder="1" applyAlignment="1">
      <alignment horizontal="center" vertical="center"/>
    </xf>
    <xf numFmtId="14" fontId="0" fillId="0" borderId="13" xfId="0" applyNumberFormat="1" applyBorder="1" applyAlignment="1">
      <alignment horizontal="left" vertical="center"/>
    </xf>
    <xf numFmtId="0" fontId="0" fillId="0" borderId="14" xfId="0" applyBorder="1" applyAlignment="1">
      <alignment horizontal="left" vertical="center"/>
    </xf>
    <xf numFmtId="14" fontId="0" fillId="0" borderId="17" xfId="0" applyNumberFormat="1"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xf>
    <xf numFmtId="0" fontId="0" fillId="0" borderId="19" xfId="0" applyBorder="1"/>
    <xf numFmtId="0" fontId="0" fillId="0" borderId="17" xfId="0" applyBorder="1"/>
    <xf numFmtId="14" fontId="25" fillId="2" borderId="15" xfId="0" applyNumberFormat="1" applyFont="1" applyFill="1" applyBorder="1" applyAlignment="1">
      <alignment horizontal="left" vertical="center"/>
    </xf>
    <xf numFmtId="0" fontId="25" fillId="2" borderId="12" xfId="0" applyFont="1" applyFill="1" applyBorder="1" applyAlignment="1">
      <alignment horizontal="left" vertical="center"/>
    </xf>
    <xf numFmtId="0" fontId="25" fillId="2" borderId="16" xfId="0" applyFont="1" applyFill="1" applyBorder="1" applyAlignment="1">
      <alignment horizontal="left" vertical="center"/>
    </xf>
    <xf numFmtId="14" fontId="25" fillId="3" borderId="15" xfId="0" applyNumberFormat="1" applyFont="1" applyFill="1" applyBorder="1" applyAlignment="1">
      <alignment horizontal="left" vertical="center"/>
    </xf>
    <xf numFmtId="0" fontId="25" fillId="3" borderId="12" xfId="0" applyFont="1" applyFill="1" applyBorder="1" applyAlignment="1">
      <alignment horizontal="left" vertical="center"/>
    </xf>
    <xf numFmtId="0" fontId="25" fillId="3" borderId="16" xfId="0" applyFont="1" applyFill="1" applyBorder="1" applyAlignment="1">
      <alignment horizontal="left" vertical="center"/>
    </xf>
    <xf numFmtId="0" fontId="0" fillId="0" borderId="13" xfId="0" applyBorder="1" applyAlignment="1">
      <alignment vertical="center"/>
    </xf>
    <xf numFmtId="0" fontId="0" fillId="0" borderId="14"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4" borderId="18" xfId="0" applyFill="1" applyBorder="1" applyAlignment="1">
      <alignment vertical="center"/>
    </xf>
    <xf numFmtId="0" fontId="0" fillId="0" borderId="19" xfId="0" applyBorder="1" applyAlignment="1">
      <alignment vertical="center"/>
    </xf>
    <xf numFmtId="0" fontId="25" fillId="3" borderId="15" xfId="0" applyFont="1" applyFill="1" applyBorder="1" applyAlignment="1">
      <alignment vertical="center"/>
    </xf>
    <xf numFmtId="0" fontId="25" fillId="3" borderId="12" xfId="0" applyFont="1" applyFill="1" applyBorder="1" applyAlignment="1">
      <alignment vertical="center"/>
    </xf>
    <xf numFmtId="0" fontId="25" fillId="3" borderId="16" xfId="0" applyFont="1" applyFill="1" applyBorder="1" applyAlignment="1">
      <alignment vertical="center"/>
    </xf>
    <xf numFmtId="0" fontId="0" fillId="0" borderId="13" xfId="0" applyBorder="1"/>
    <xf numFmtId="0" fontId="0" fillId="0" borderId="14" xfId="0" applyBorder="1"/>
    <xf numFmtId="0" fontId="0" fillId="0" borderId="18" xfId="0" applyBorder="1"/>
    <xf numFmtId="0" fontId="25" fillId="3" borderId="15" xfId="0" applyFont="1" applyFill="1" applyBorder="1"/>
    <xf numFmtId="0" fontId="25" fillId="3" borderId="12" xfId="0" applyFont="1" applyFill="1" applyBorder="1"/>
    <xf numFmtId="0" fontId="25" fillId="3" borderId="16" xfId="0" applyFont="1" applyFill="1" applyBorder="1"/>
    <xf numFmtId="0" fontId="0" fillId="4" borderId="14" xfId="0" applyFill="1" applyBorder="1"/>
    <xf numFmtId="0" fontId="0" fillId="4" borderId="18" xfId="0" applyFill="1" applyBorder="1"/>
    <xf numFmtId="0" fontId="0" fillId="4" borderId="19" xfId="0" applyFill="1" applyBorder="1"/>
    <xf numFmtId="3" fontId="0" fillId="0" borderId="14" xfId="0" applyNumberFormat="1" applyBorder="1"/>
    <xf numFmtId="14" fontId="0" fillId="0" borderId="14" xfId="0" applyNumberFormat="1" applyBorder="1"/>
    <xf numFmtId="14" fontId="0" fillId="0" borderId="19" xfId="0" applyNumberFormat="1" applyBorder="1"/>
    <xf numFmtId="14" fontId="25" fillId="3" borderId="16" xfId="0" applyNumberFormat="1" applyFont="1" applyFill="1" applyBorder="1"/>
    <xf numFmtId="0" fontId="17" fillId="0" borderId="14" xfId="0" applyFont="1" applyBorder="1" applyAlignment="1">
      <alignment horizontal="center" vertical="center"/>
    </xf>
    <xf numFmtId="0" fontId="2" fillId="7" borderId="15" xfId="0" applyFont="1" applyFill="1" applyBorder="1"/>
    <xf numFmtId="0" fontId="24" fillId="7" borderId="12" xfId="0" applyFont="1" applyFill="1" applyBorder="1" applyAlignment="1">
      <alignment horizontal="center" vertical="center"/>
    </xf>
    <xf numFmtId="164" fontId="24" fillId="7" borderId="12" xfId="0" applyNumberFormat="1" applyFont="1" applyFill="1" applyBorder="1" applyAlignment="1">
      <alignment horizontal="center" vertical="center"/>
    </xf>
    <xf numFmtId="0" fontId="24" fillId="7" borderId="16" xfId="0" applyFont="1" applyFill="1" applyBorder="1" applyAlignment="1">
      <alignment horizontal="center" vertical="center"/>
    </xf>
    <xf numFmtId="0" fontId="17" fillId="0" borderId="18" xfId="0" applyFont="1" applyBorder="1" applyAlignment="1">
      <alignment horizontal="center" vertical="center"/>
    </xf>
    <xf numFmtId="0" fontId="17" fillId="0" borderId="18" xfId="0" applyFont="1" applyBorder="1"/>
    <xf numFmtId="164" fontId="17" fillId="0" borderId="18" xfId="0" applyNumberFormat="1" applyFont="1" applyBorder="1" applyAlignment="1">
      <alignment horizontal="center" vertical="center"/>
    </xf>
    <xf numFmtId="0" fontId="0" fillId="0" borderId="18" xfId="0" applyBorder="1" applyAlignment="1">
      <alignment horizontal="left"/>
    </xf>
    <xf numFmtId="0" fontId="17" fillId="0" borderId="19" xfId="0" applyFont="1" applyBorder="1" applyAlignment="1">
      <alignment horizontal="center" vertical="center"/>
    </xf>
    <xf numFmtId="0" fontId="6" fillId="9" borderId="0" xfId="0" applyFont="1" applyFill="1"/>
    <xf numFmtId="0" fontId="26" fillId="8" borderId="20" xfId="0" applyFont="1" applyFill="1" applyBorder="1" applyAlignment="1">
      <alignment vertical="top"/>
    </xf>
    <xf numFmtId="0" fontId="6" fillId="9" borderId="20" xfId="0" applyFont="1" applyFill="1" applyBorder="1"/>
    <xf numFmtId="0" fontId="6" fillId="10" borderId="21" xfId="0" applyFont="1" applyFill="1" applyBorder="1"/>
    <xf numFmtId="0" fontId="28" fillId="0" borderId="0" xfId="0" applyFont="1" applyAlignment="1">
      <alignment horizontal="right" vertical="center"/>
    </xf>
    <xf numFmtId="0" fontId="6" fillId="0" borderId="0" xfId="0" applyFont="1" applyAlignment="1">
      <alignment wrapText="1"/>
    </xf>
    <xf numFmtId="1" fontId="7" fillId="3" borderId="0" xfId="2" applyNumberFormat="1" applyFont="1" applyFill="1" applyBorder="1" applyAlignment="1">
      <alignment horizontal="left" vertical="top"/>
    </xf>
    <xf numFmtId="0" fontId="27" fillId="0" borderId="0" xfId="0" applyFont="1" applyAlignment="1">
      <alignment horizontal="right"/>
    </xf>
    <xf numFmtId="0" fontId="27" fillId="0" borderId="0" xfId="0" applyFont="1" applyAlignment="1">
      <alignment horizontal="right" vertical="center"/>
    </xf>
    <xf numFmtId="0" fontId="7" fillId="3" borderId="0" xfId="0" applyFont="1" applyFill="1" applyAlignment="1">
      <alignment horizontal="left" vertical="center" wrapText="1"/>
    </xf>
    <xf numFmtId="0" fontId="29" fillId="0" borderId="0" xfId="0" applyFont="1" applyAlignment="1">
      <alignment horizontal="right"/>
    </xf>
    <xf numFmtId="0" fontId="6" fillId="0" borderId="0" xfId="0" applyNumberFormat="1" applyFont="1"/>
    <xf numFmtId="0" fontId="26" fillId="8" borderId="20" xfId="0" applyNumberFormat="1" applyFont="1" applyFill="1" applyBorder="1" applyAlignment="1">
      <alignment vertical="top"/>
    </xf>
    <xf numFmtId="0" fontId="6" fillId="9" borderId="20" xfId="0" applyNumberFormat="1" applyFont="1" applyFill="1" applyBorder="1"/>
    <xf numFmtId="0" fontId="6" fillId="10" borderId="21" xfId="0" applyNumberFormat="1" applyFont="1" applyFill="1" applyBorder="1"/>
    <xf numFmtId="0" fontId="6" fillId="0" borderId="17"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15"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16" xfId="0" applyFont="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5" borderId="0" xfId="0" applyFill="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6" fillId="0" borderId="22" xfId="0" applyFont="1" applyBorder="1" applyAlignment="1">
      <alignment horizontal="center" vertical="center" wrapText="1"/>
    </xf>
    <xf numFmtId="0" fontId="6" fillId="0" borderId="21" xfId="0" applyFont="1" applyBorder="1" applyAlignment="1">
      <alignment horizontal="center" vertical="center" wrapText="1"/>
    </xf>
    <xf numFmtId="0" fontId="29" fillId="0" borderId="19" xfId="0" applyFont="1" applyBorder="1" applyAlignment="1">
      <alignment horizontal="center" vertical="center"/>
    </xf>
    <xf numFmtId="0" fontId="0" fillId="0" borderId="22" xfId="0" applyBorder="1" applyAlignment="1">
      <alignment horizontal="center" vertical="center"/>
    </xf>
    <xf numFmtId="0" fontId="0" fillId="0" borderId="16" xfId="0" applyBorder="1" applyAlignment="1">
      <alignment horizontal="center" vertical="center"/>
    </xf>
    <xf numFmtId="0" fontId="0" fillId="0" borderId="21" xfId="0"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0" xfId="0" applyFill="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0" borderId="0" xfId="0" applyAlignment="1">
      <alignment horizontal="center"/>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5" borderId="0" xfId="0" applyFill="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0" fillId="5" borderId="9" xfId="0" applyFill="1" applyBorder="1" applyAlignment="1">
      <alignment horizontal="center" vertical="center" wrapText="1"/>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0" borderId="10" xfId="0" applyBorder="1" applyAlignment="1">
      <alignment horizontal="right" vertical="center"/>
    </xf>
    <xf numFmtId="0" fontId="0" fillId="0" borderId="0" xfId="0" applyAlignment="1">
      <alignment horizontal="center" wrapText="1"/>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0" fillId="0" borderId="11" xfId="0" applyBorder="1" applyAlignment="1">
      <alignment horizontal="right" vertical="center"/>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9" fillId="11" borderId="1" xfId="0" applyFont="1" applyFill="1" applyBorder="1" applyAlignment="1">
      <alignment horizontal="center" wrapText="1"/>
    </xf>
    <xf numFmtId="0" fontId="7" fillId="11" borderId="1" xfId="0" applyFont="1" applyFill="1" applyBorder="1" applyAlignment="1">
      <alignment horizontal="center" wrapText="1"/>
    </xf>
    <xf numFmtId="0" fontId="7" fillId="11" borderId="1" xfId="0" applyFont="1" applyFill="1" applyBorder="1" applyAlignment="1">
      <alignment horizontal="left" vertical="top"/>
    </xf>
    <xf numFmtId="0" fontId="6" fillId="3" borderId="1" xfId="0" applyFont="1" applyFill="1" applyBorder="1" applyAlignment="1">
      <alignment horizontal="center" vertical="center" wrapText="1"/>
    </xf>
  </cellXfs>
  <cellStyles count="3">
    <cellStyle name="Comma" xfId="2" builtinId="3"/>
    <cellStyle name="Normal" xfId="0" builtinId="0"/>
    <cellStyle name="Normal 2" xfId="1" xr:uid="{360945F5-0C85-40EE-ADDA-C7C6596E7F26}"/>
  </cellStyles>
  <dxfs count="380">
    <dxf>
      <border>
        <bottom style="thin">
          <color indexed="64"/>
        </bottom>
      </border>
    </dxf>
    <dxf>
      <border>
        <top style="thin">
          <color indexed="64"/>
        </top>
        <bottom style="thin">
          <color indexed="64"/>
        </bottom>
      </border>
    </dxf>
    <dxf>
      <border>
        <top style="thin">
          <color indexed="64"/>
        </top>
        <bottom style="thin">
          <color indexed="64"/>
        </bottom>
      </border>
    </dxf>
    <dxf>
      <border>
        <left/>
        <right/>
        <top/>
        <bottom/>
        <vertic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ill>
        <patternFill patternType="solid">
          <bgColor theme="9" tint="0.39997558519241921"/>
        </patternFill>
      </fill>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alignment horizontal="general"/>
    </dxf>
    <dxf>
      <alignment vertical="top"/>
    </dxf>
    <dxf>
      <font>
        <i/>
      </font>
    </dxf>
    <dxf>
      <font>
        <b val="0"/>
      </font>
    </dxf>
    <dxf>
      <alignment vertical="bottom"/>
    </dxf>
    <dxf>
      <alignment horizontal="righ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6" tint="0.59999389629810485"/>
        </patternFill>
      </fill>
    </dxf>
    <dxf>
      <font>
        <b val="0"/>
      </font>
    </dxf>
    <dxf>
      <font>
        <b val="0"/>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164" formatCode="[$-409]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6" tint="0.79998168889431442"/>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6" tint="0.79998168889431442"/>
        </patternFill>
      </fill>
      <border diagonalUp="0" diagonalDown="0" outline="0">
        <left style="thin">
          <color indexed="64"/>
        </left>
        <right style="thin">
          <color indexed="64"/>
        </right>
        <top/>
        <bottom/>
      </border>
    </dxf>
    <dxf>
      <numFmt numFmtId="19"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6" tint="0.79998168889431442"/>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6" tint="0.79998168889431442"/>
        </patternFill>
      </fill>
      <border diagonalUp="0" diagonalDown="0" outline="0">
        <left style="thin">
          <color indexed="64"/>
        </left>
        <right style="thin">
          <color indexed="64"/>
        </right>
        <top/>
        <bottom/>
      </border>
    </dxf>
    <dxf>
      <numFmt numFmtId="0" formatCode="General"/>
      <fill>
        <patternFill patternType="solid">
          <fgColor indexed="64"/>
          <bgColor theme="8" tint="0.79998168889431442"/>
        </patternFill>
      </fill>
      <border diagonalUp="0" diagonalDown="0">
        <left style="thin">
          <color indexed="64"/>
        </left>
        <right/>
        <top style="thin">
          <color indexed="64"/>
        </top>
        <bottom style="thin">
          <color indexed="64"/>
        </bottom>
        <vertical/>
        <horizontal/>
      </border>
    </dxf>
    <dxf>
      <numFmt numFmtId="0" formatCode="General"/>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8" tint="0.79998168889431442"/>
        </patternFill>
      </fill>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6" tint="0.79998168889431442"/>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6" tint="0.79998168889431442"/>
        </patternFill>
      </fill>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8"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8"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8" tint="-0.499984740745262"/>
      </font>
      <fill>
        <patternFill>
          <bgColor theme="8" tint="0.39994506668294322"/>
        </patternFill>
      </fill>
      <border>
        <bottom style="thin">
          <color theme="4"/>
        </bottom>
        <vertical/>
        <horizontal/>
      </border>
    </dxf>
    <dxf>
      <font>
        <color theme="1"/>
      </font>
      <fill>
        <patternFill patternType="none">
          <bgColor auto="1"/>
        </patternFill>
      </fill>
      <border>
        <left style="thin">
          <color theme="4"/>
        </left>
        <right style="thin">
          <color theme="4"/>
        </right>
        <top style="thin">
          <color theme="4"/>
        </top>
        <bottom style="thin">
          <color theme="4"/>
        </bottom>
        <vertical/>
        <horizontal/>
      </border>
    </dxf>
  </dxfs>
  <tableStyles count="1" defaultTableStyle="TableStyleMedium9" defaultPivotStyle="PivotStyleLight16">
    <tableStyle name="SlicerStyleLight1 2" pivot="0" table="0" count="10" xr9:uid="{09CED014-2AF3-4535-8C6A-2D68C7F7B5A7}">
      <tableStyleElement type="wholeTable" dxfId="379"/>
      <tableStyleElement type="headerRow" dxfId="378"/>
    </tableStyle>
  </tableStyles>
  <colors>
    <mruColors>
      <color rgb="FFFFFF0D"/>
      <color rgb="FFFFFF89"/>
      <color rgb="FFFFFF69"/>
      <color rgb="FFF8A6A6"/>
      <color rgb="FFF37D7D"/>
      <color rgb="FFED3737"/>
      <color rgb="FFF48892"/>
      <color rgb="FFFFD1D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79998168889431442"/>
            </patternFill>
          </fill>
          <border>
            <left style="thin">
              <color rgb="FF999999"/>
            </left>
            <right style="thin">
              <color rgb="FF999999"/>
            </right>
            <top style="thin">
              <color rgb="FF999999"/>
            </top>
            <bottom style="thin">
              <color rgb="FF999999"/>
            </bottom>
            <vertical/>
            <horizontal/>
          </border>
        </dxf>
        <dxf>
          <font>
            <color theme="1" tint="0.24994659260841701"/>
          </font>
          <fill>
            <patternFill patternType="solid">
              <fgColor indexed="64"/>
              <bgColor rgb="FFF8A6A6"/>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8" tint="0.39994506668294322"/>
            </patternFill>
          </fill>
          <border>
            <left style="thin">
              <color rgb="FF999999"/>
            </left>
            <right style="thin">
              <color rgb="FF999999"/>
            </right>
            <top style="thin">
              <color rgb="FF999999"/>
            </top>
            <bottom style="thin">
              <color rgb="FF999999"/>
            </bottom>
            <vertical/>
            <horizontal/>
          </border>
        </dxf>
        <dxf>
          <font>
            <b val="0"/>
            <i val="0"/>
            <color rgb="FFC00000"/>
          </font>
          <fill>
            <patternFill patternType="none">
              <fgColor indexed="64"/>
              <bgColor auto="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5</xdr:col>
      <xdr:colOff>22860</xdr:colOff>
      <xdr:row>0</xdr:row>
      <xdr:rowOff>45720</xdr:rowOff>
    </xdr:from>
    <xdr:to>
      <xdr:col>6</xdr:col>
      <xdr:colOff>106680</xdr:colOff>
      <xdr:row>12</xdr:row>
      <xdr:rowOff>135255</xdr:rowOff>
    </xdr:to>
    <mc:AlternateContent xmlns:mc="http://schemas.openxmlformats.org/markup-compatibility/2006" xmlns:a14="http://schemas.microsoft.com/office/drawing/2010/main">
      <mc:Choice Requires="a14">
        <xdr:graphicFrame macro="">
          <xdr:nvGraphicFramePr>
            <xdr:cNvPr id="2" name="Rt Name">
              <a:extLst>
                <a:ext uri="{FF2B5EF4-FFF2-40B4-BE49-F238E27FC236}">
                  <a16:creationId xmlns:a16="http://schemas.microsoft.com/office/drawing/2014/main" id="{A21C0604-8FBA-F029-8955-4BD7A530CA17}"/>
                </a:ext>
              </a:extLst>
            </xdr:cNvPr>
            <xdr:cNvGraphicFramePr/>
          </xdr:nvGraphicFramePr>
          <xdr:xfrm>
            <a:off x="0" y="0"/>
            <a:ext cx="0" cy="0"/>
          </xdr:xfrm>
          <a:graphic>
            <a:graphicData uri="http://schemas.microsoft.com/office/drawing/2010/slicer">
              <sle:slicer xmlns:sle="http://schemas.microsoft.com/office/drawing/2010/slicer" name="Rt Name"/>
            </a:graphicData>
          </a:graphic>
        </xdr:graphicFrame>
      </mc:Choice>
      <mc:Fallback xmlns="">
        <xdr:sp macro="" textlink="">
          <xdr:nvSpPr>
            <xdr:cNvPr id="0" name=""/>
            <xdr:cNvSpPr>
              <a:spLocks noTextEdit="1"/>
            </xdr:cNvSpPr>
          </xdr:nvSpPr>
          <xdr:spPr>
            <a:xfrm>
              <a:off x="7132320" y="45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426720</xdr:colOff>
      <xdr:row>0</xdr:row>
      <xdr:rowOff>91441</xdr:rowOff>
    </xdr:from>
    <xdr:to>
      <xdr:col>7</xdr:col>
      <xdr:colOff>1242060</xdr:colOff>
      <xdr:row>11</xdr:row>
      <xdr:rowOff>114300</xdr:rowOff>
    </xdr:to>
    <mc:AlternateContent xmlns:mc="http://schemas.openxmlformats.org/markup-compatibility/2006" xmlns:a14="http://schemas.microsoft.com/office/drawing/2010/main">
      <mc:Choice Requires="a14">
        <xdr:graphicFrame macro="">
          <xdr:nvGraphicFramePr>
            <xdr:cNvPr id="3" name="Model">
              <a:extLst>
                <a:ext uri="{FF2B5EF4-FFF2-40B4-BE49-F238E27FC236}">
                  <a16:creationId xmlns:a16="http://schemas.microsoft.com/office/drawing/2014/main" id="{246EA96C-E244-6383-5B0A-5E3B1D3545BF}"/>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8892540" y="91441"/>
              <a:ext cx="2057400" cy="2202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1440180</xdr:colOff>
      <xdr:row>0</xdr:row>
      <xdr:rowOff>144781</xdr:rowOff>
    </xdr:from>
    <xdr:to>
      <xdr:col>9</xdr:col>
      <xdr:colOff>739140</xdr:colOff>
      <xdr:row>6</xdr:row>
      <xdr:rowOff>137160</xdr:rowOff>
    </xdr:to>
    <mc:AlternateContent xmlns:mc="http://schemas.openxmlformats.org/markup-compatibility/2006" xmlns:a14="http://schemas.microsoft.com/office/drawing/2010/main">
      <mc:Choice Requires="a14">
        <xdr:graphicFrame macro="">
          <xdr:nvGraphicFramePr>
            <xdr:cNvPr id="4" name="VM">
              <a:extLst>
                <a:ext uri="{FF2B5EF4-FFF2-40B4-BE49-F238E27FC236}">
                  <a16:creationId xmlns:a16="http://schemas.microsoft.com/office/drawing/2014/main" id="{7F171A38-49B0-F082-F68E-FF825D4A3773}"/>
                </a:ext>
              </a:extLst>
            </xdr:cNvPr>
            <xdr:cNvGraphicFramePr/>
          </xdr:nvGraphicFramePr>
          <xdr:xfrm>
            <a:off x="0" y="0"/>
            <a:ext cx="0" cy="0"/>
          </xdr:xfrm>
          <a:graphic>
            <a:graphicData uri="http://schemas.microsoft.com/office/drawing/2010/slicer">
              <sle:slicer xmlns:sle="http://schemas.microsoft.com/office/drawing/2010/slicer" name="VM"/>
            </a:graphicData>
          </a:graphic>
        </xdr:graphicFrame>
      </mc:Choice>
      <mc:Fallback xmlns="">
        <xdr:sp macro="" textlink="">
          <xdr:nvSpPr>
            <xdr:cNvPr id="0" name=""/>
            <xdr:cNvSpPr>
              <a:spLocks noTextEdit="1"/>
            </xdr:cNvSpPr>
          </xdr:nvSpPr>
          <xdr:spPr>
            <a:xfrm>
              <a:off x="11148060" y="144781"/>
              <a:ext cx="18288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vicemailbd71@gmail.com" refreshedDate="46196.623414467591" createdVersion="8" refreshedVersion="8" minRefreshableVersion="3" recordCount="435" xr:uid="{A1FCCDDF-88D2-4628-8039-161CB927EA21}">
  <cacheSource type="worksheet">
    <worksheetSource name="Table1"/>
  </cacheSource>
  <cacheFields count="10">
    <cacheField name="RT Code" numFmtId="0">
      <sharedItems/>
    </cacheField>
    <cacheField name="Rt Name" numFmtId="0">
      <sharedItems count="109">
        <s v="Prithibi Corporation"/>
        <s v="RR Communications"/>
        <s v="Excel Telecom, Pabna"/>
        <s v="J &amp; J Communication"/>
        <s v="Idea Gadget"/>
        <s v="Phone World"/>
        <s v="Source Of Product"/>
        <s v="Mobile World"/>
        <s v="Sharifa Trade Center"/>
        <s v="TK International"/>
        <s v="Mobile Café"/>
        <s v="New Style Mobile Shop"/>
        <s v="Nodi Enterprise"/>
        <s v="Fahim Mobile Palace"/>
        <s v="Sobayta Telecom"/>
        <s v="Touch Point &amp; Mobile Gallary"/>
        <s v="Classic Electronics"/>
        <s v="Sheba Business"/>
        <s v="Self Point"/>
        <s v="S.S Digital Complex"/>
        <s v="Grameen Mobile Phone"/>
        <s v="One Telecom"/>
        <s v="Venus Electronics"/>
        <s v="IG&amp;G"/>
        <s v="Hello Point"/>
        <s v="Lili Mobile Zone"/>
        <s v="Khoka Store Plus Telecom"/>
        <s v="Smart Point"/>
        <s v="Wow Corporation"/>
        <s v="Jaman Telecom"/>
        <s v="Mobile Point"/>
        <s v="J.K Smart Tel"/>
        <s v="Samsung Smart Zone"/>
        <s v="Zenith Mobile Palace"/>
        <s v="Shilpi Mobile Corner"/>
        <s v="Amin Mobile Corner"/>
        <s v="Jalal Telecom"/>
        <s v="Samsung Mobile Point"/>
        <s v="Sumona Telecom"/>
        <s v="Hallo Point_Mobile"/>
        <s v="RN Digital"/>
        <s v="Samsung Galaxy House"/>
        <s v="Mahabub Traders"/>
        <s v="M/S. Abrar Traders"/>
        <s v="The Cell Store"/>
        <s v="Moon Enterprise 2"/>
        <s v="Sihab Telecom"/>
        <s v="Mobile City"/>
        <s v="Speed - Rajshahi"/>
        <s v="Cell Mart"/>
        <s v="Mobile Clinic"/>
        <s v="SM Mobile"/>
        <s v="Amir Mobile Galary"/>
        <s v="Labonno Multimedia"/>
        <s v="Padma Mobile"/>
        <s v="Smart Zone"/>
        <s v="AB Telepathy"/>
        <s v="Tanvir Telecom"/>
        <s v="Plus Point Computer"/>
        <s v="Juel Mobile Corner"/>
        <s v="New Nahi Telecom"/>
        <s v="Shahi Telecom"/>
        <s v="Shohag Mobile Centre"/>
        <s v="Smart Telecom"/>
        <s v="Samsung Gallery"/>
        <s v="AR Telecom"/>
        <s v="Compact Link"/>
        <s v="Famous Mobile"/>
        <s v="Mahbub Telecom"/>
        <s v="Sarkar Smart Gallery"/>
        <s v="SP Smart Mobile  Zone "/>
        <s v="Zillani Mobile-2"/>
        <s v="Imran Electronics"/>
        <s v="M/S Riyad Store"/>
        <s v="Electronics Park "/>
        <s v="Irin Telecom"/>
        <s v="Omar Electronics"/>
        <s v="Hello Salanga"/>
        <s v="Sony Electronics"/>
        <s v="Shafique Telecom"/>
        <s v="Dubai Mobile"/>
        <s v="Lamiya Electronics"/>
        <s v="SMS Gadget"/>
        <s v="Sopon Elect."/>
        <s v="Bismillah Telecom"/>
        <s v="Uttar Bongo Telecom"/>
        <s v="Pabna Dot Telecom"/>
        <s v="Islam Telecom"/>
        <s v="Multimedia"/>
        <s v="Tuhin Mobile Center"/>
        <s v="Khan Telecom"/>
        <s v="Bonolata Mobile"/>
        <s v="Hanif Electronices"/>
        <s v="Tanzim Telecom"/>
        <s v="New Gadget Point"/>
        <s v="Hello Bonpara"/>
        <s v="Snigdha Mobile"/>
        <s v="HM Telecom"/>
        <s v="Zillani Mobile Center"/>
        <s v="Saha Enterprise"/>
        <s v="Cooling Point"/>
        <s v="Ashfika telecom"/>
        <s v="Bappy Telecom"/>
        <s v="Dighi Telecom"/>
        <s v="Sony Electronics "/>
        <s v="Electronics Park"/>
        <s v="Sabbir Telecom"/>
        <s v="Zaman's Gadget"/>
        <s v="Pabna Dot Telecom "/>
      </sharedItems>
    </cacheField>
    <cacheField name="Model" numFmtId="0">
      <sharedItems count="14">
        <s v="Galaxy A16"/>
        <s v="Galaxy S25 Ultra"/>
        <s v="Galaxy A06"/>
        <s v="Galaxy A26"/>
        <s v="Galaxy A07"/>
        <s v="Galaxy A36"/>
        <s v="Galaxy A56"/>
        <s v="Galaxy A17"/>
        <s v="Galaxy S25 FE"/>
        <s v="Galaxy S26 Ultra"/>
        <s v="Galaxy Tab A11"/>
        <s v="Galaxy A37"/>
        <s v="Galaxy A57"/>
        <s v="Galaxy M06"/>
      </sharedItems>
    </cacheField>
    <cacheField name="Installation Date" numFmtId="0">
      <sharedItems containsSemiMixedTypes="0" containsNonDate="0" containsDate="1" containsString="0" minDate="2025-02-12T00:00:00" maxDate="2026-05-26T00:00:00"/>
    </cacheField>
    <cacheField name="Qty" numFmtId="0">
      <sharedItems containsSemiMixedTypes="0" containsString="0" containsNumber="1" containsInteger="1" minValue="1" maxValue="1"/>
    </cacheField>
    <cacheField name="Year" numFmtId="0">
      <sharedItems containsSemiMixedTypes="0" containsString="0" containsNumber="1" containsInteger="1" minValue="2025" maxValue="2026"/>
    </cacheField>
    <cacheField name="RT Type" numFmtId="0">
      <sharedItems/>
    </cacheField>
    <cacheField name="Status" numFmtId="0">
      <sharedItems/>
    </cacheField>
    <cacheField name="VMS" numFmtId="0">
      <sharedItems/>
    </cacheField>
    <cacheField name="VM" numFmtId="0">
      <sharedItems count="3">
        <s v="Lokkhon Chowdhury"/>
        <s v="Zihad Hasan"/>
        <s v="Imrul Kayes Asif"/>
      </sharedItems>
    </cacheField>
  </cacheFields>
  <extLst>
    <ext xmlns:x14="http://schemas.microsoft.com/office/spreadsheetml/2009/9/main" uri="{725AE2AE-9491-48be-B2B4-4EB974FC3084}">
      <x14:pivotCacheDefinition pivotCacheId="435849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5">
  <r>
    <s v="RT-01"/>
    <x v="0"/>
    <x v="0"/>
    <d v="2025-02-12T00:00:00"/>
    <n v="1"/>
    <n v="2025"/>
    <s v="Premium"/>
    <s v="Active"/>
    <s v="Md. Ripon Ali"/>
    <x v="0"/>
  </r>
  <r>
    <s v="RT-03"/>
    <x v="1"/>
    <x v="1"/>
    <d v="2025-02-12T00:00:00"/>
    <n v="1"/>
    <n v="2025"/>
    <s v="Premium"/>
    <s v="Active"/>
    <s v="Md. Ripon Ali"/>
    <x v="1"/>
  </r>
  <r>
    <s v="RT-04"/>
    <x v="2"/>
    <x v="0"/>
    <d v="2025-02-13T00:00:00"/>
    <n v="1"/>
    <n v="2025"/>
    <s v="Premium"/>
    <s v="Active"/>
    <s v="Md. Ripon Ali"/>
    <x v="2"/>
  </r>
  <r>
    <s v="RT-05"/>
    <x v="3"/>
    <x v="0"/>
    <d v="2025-02-13T00:00:00"/>
    <n v="1"/>
    <n v="2025"/>
    <s v="Premium"/>
    <s v="Active"/>
    <s v="Md. Ripon Ali"/>
    <x v="1"/>
  </r>
  <r>
    <s v="RT-03"/>
    <x v="1"/>
    <x v="0"/>
    <d v="2025-02-13T00:00:00"/>
    <n v="1"/>
    <n v="2025"/>
    <s v="Premium"/>
    <s v="Active"/>
    <s v="Md. Ripon Ali"/>
    <x v="1"/>
  </r>
  <r>
    <s v="RT-07"/>
    <x v="4"/>
    <x v="0"/>
    <d v="2025-02-13T00:00:00"/>
    <n v="1"/>
    <n v="2025"/>
    <s v="Standard"/>
    <s v="Active"/>
    <s v="Md. Ripon Ali"/>
    <x v="1"/>
  </r>
  <r>
    <s v="RT-08"/>
    <x v="5"/>
    <x v="0"/>
    <d v="2025-02-13T00:00:00"/>
    <n v="1"/>
    <n v="2025"/>
    <s v="Standard"/>
    <s v="Active"/>
    <s v="Md. Ripon Ali"/>
    <x v="1"/>
  </r>
  <r>
    <s v="RT-09"/>
    <x v="6"/>
    <x v="0"/>
    <d v="2025-02-13T00:00:00"/>
    <n v="1"/>
    <n v="2025"/>
    <s v="Standard"/>
    <s v="Active"/>
    <s v="Md. Ripon Ali"/>
    <x v="1"/>
  </r>
  <r>
    <s v="RT-10"/>
    <x v="7"/>
    <x v="0"/>
    <d v="2025-02-13T00:00:00"/>
    <n v="1"/>
    <n v="2025"/>
    <s v="Standard"/>
    <s v="Active"/>
    <s v="Md. Ripon Ali"/>
    <x v="1"/>
  </r>
  <r>
    <s v="RT-11"/>
    <x v="8"/>
    <x v="0"/>
    <d v="2025-02-13T00:00:00"/>
    <n v="1"/>
    <n v="2025"/>
    <s v="Premium"/>
    <s v="Active"/>
    <s v="Md. Ripon Ali"/>
    <x v="1"/>
  </r>
  <r>
    <s v="RT-12"/>
    <x v="9"/>
    <x v="0"/>
    <d v="2025-02-13T00:00:00"/>
    <n v="1"/>
    <n v="2025"/>
    <s v="Premium"/>
    <s v="Active"/>
    <s v="Md. Ripon Ali"/>
    <x v="1"/>
  </r>
  <r>
    <s v="RT-13"/>
    <x v="10"/>
    <x v="0"/>
    <d v="2025-02-13T00:00:00"/>
    <n v="1"/>
    <n v="2025"/>
    <s v="Standard"/>
    <s v="Active"/>
    <s v="Md. Ripon Ali"/>
    <x v="1"/>
  </r>
  <r>
    <s v="RT-14"/>
    <x v="11"/>
    <x v="0"/>
    <d v="2025-02-13T00:00:00"/>
    <n v="1"/>
    <n v="2025"/>
    <s v="Standard"/>
    <s v="Active"/>
    <s v="Md. Ripon Ali"/>
    <x v="1"/>
  </r>
  <r>
    <s v="RT-15"/>
    <x v="12"/>
    <x v="0"/>
    <d v="2025-02-13T00:00:00"/>
    <n v="1"/>
    <n v="2025"/>
    <s v="Premium"/>
    <s v="Active"/>
    <s v="Md. Ripon Ali"/>
    <x v="1"/>
  </r>
  <r>
    <s v="RT-16"/>
    <x v="13"/>
    <x v="0"/>
    <d v="2025-02-13T00:00:00"/>
    <n v="1"/>
    <n v="2025"/>
    <s v="Standard"/>
    <s v="Active"/>
    <s v="Md. Ripon Ali"/>
    <x v="1"/>
  </r>
  <r>
    <s v="RT-17"/>
    <x v="14"/>
    <x v="0"/>
    <d v="2025-02-13T00:00:00"/>
    <n v="1"/>
    <n v="2025"/>
    <s v="Standard"/>
    <s v="Active"/>
    <s v="Md. Ripon Ali"/>
    <x v="1"/>
  </r>
  <r>
    <s v="RT-18"/>
    <x v="15"/>
    <x v="0"/>
    <d v="2025-02-13T00:00:00"/>
    <n v="1"/>
    <n v="2025"/>
    <s v="Standard"/>
    <s v="Active"/>
    <s v="Md. Ripon Ali"/>
    <x v="1"/>
  </r>
  <r>
    <s v="RT-19"/>
    <x v="16"/>
    <x v="0"/>
    <d v="2025-02-13T00:00:00"/>
    <n v="1"/>
    <n v="2025"/>
    <s v="Standard"/>
    <s v="Active"/>
    <s v="Md. Ripon Ali"/>
    <x v="1"/>
  </r>
  <r>
    <s v="RT-20"/>
    <x v="17"/>
    <x v="0"/>
    <d v="2025-02-13T00:00:00"/>
    <n v="1"/>
    <n v="2025"/>
    <s v="Standard"/>
    <s v="Active"/>
    <s v="Md. Ripon Ali"/>
    <x v="1"/>
  </r>
  <r>
    <s v="RT-21"/>
    <x v="18"/>
    <x v="0"/>
    <d v="2025-02-13T00:00:00"/>
    <n v="1"/>
    <n v="2025"/>
    <s v="Standard"/>
    <s v="Active"/>
    <s v="Md. Ripon Ali"/>
    <x v="1"/>
  </r>
  <r>
    <s v="RT-22"/>
    <x v="19"/>
    <x v="0"/>
    <d v="2025-02-15T00:00:00"/>
    <n v="1"/>
    <n v="2025"/>
    <s v="Premium"/>
    <s v="Active"/>
    <s v="Md. Ripon Ali"/>
    <x v="2"/>
  </r>
  <r>
    <s v="RT-23"/>
    <x v="20"/>
    <x v="0"/>
    <d v="2025-02-15T00:00:00"/>
    <n v="1"/>
    <n v="2025"/>
    <s v="Standard"/>
    <s v="Active"/>
    <s v="Md. Ripon Ali"/>
    <x v="2"/>
  </r>
  <r>
    <s v="RT-24"/>
    <x v="21"/>
    <x v="0"/>
    <d v="2025-02-15T00:00:00"/>
    <n v="1"/>
    <n v="2025"/>
    <s v="Standard"/>
    <s v="Active"/>
    <s v="Md. Ripon Ali"/>
    <x v="2"/>
  </r>
  <r>
    <s v="RT-25"/>
    <x v="22"/>
    <x v="0"/>
    <d v="2025-02-15T00:00:00"/>
    <n v="1"/>
    <n v="2025"/>
    <s v="Standard"/>
    <s v="Active"/>
    <s v="Md. Ripon Ali"/>
    <x v="2"/>
  </r>
  <r>
    <s v="RT-26"/>
    <x v="23"/>
    <x v="0"/>
    <d v="2025-02-15T00:00:00"/>
    <n v="1"/>
    <n v="2025"/>
    <s v="Standard"/>
    <s v="Active"/>
    <s v="Md. Ripon Ali"/>
    <x v="2"/>
  </r>
  <r>
    <s v="RT-27"/>
    <x v="24"/>
    <x v="0"/>
    <d v="2025-02-15T00:00:00"/>
    <n v="1"/>
    <n v="2025"/>
    <s v="Premium"/>
    <s v="Active"/>
    <s v="Md. Ripon Ali"/>
    <x v="1"/>
  </r>
  <r>
    <s v="RT-29"/>
    <x v="25"/>
    <x v="0"/>
    <d v="2025-02-15T00:00:00"/>
    <n v="1"/>
    <n v="2025"/>
    <s v="Standard"/>
    <s v="Active"/>
    <s v="Md. Ripon Ali"/>
    <x v="1"/>
  </r>
  <r>
    <s v="RT-30"/>
    <x v="26"/>
    <x v="0"/>
    <d v="2025-02-15T00:00:00"/>
    <n v="1"/>
    <n v="2025"/>
    <s v="Standard"/>
    <s v="Active"/>
    <s v="Md. Ripon Ali"/>
    <x v="1"/>
  </r>
  <r>
    <s v="RT-31"/>
    <x v="27"/>
    <x v="0"/>
    <d v="2025-02-15T00:00:00"/>
    <n v="1"/>
    <n v="2025"/>
    <s v="Standard"/>
    <s v="Active"/>
    <s v="Md. Ripon Ali"/>
    <x v="1"/>
  </r>
  <r>
    <s v="RT-32"/>
    <x v="28"/>
    <x v="0"/>
    <d v="2025-02-15T00:00:00"/>
    <n v="1"/>
    <n v="2025"/>
    <s v="Standard"/>
    <s v="Active"/>
    <s v="Md. Ripon Ali"/>
    <x v="1"/>
  </r>
  <r>
    <s v="RT-33"/>
    <x v="29"/>
    <x v="0"/>
    <d v="2025-02-15T00:00:00"/>
    <n v="1"/>
    <n v="2025"/>
    <s v="Standard"/>
    <s v="Active"/>
    <s v="Md. Ripon Ali"/>
    <x v="1"/>
  </r>
  <r>
    <s v="RT-34"/>
    <x v="30"/>
    <x v="0"/>
    <d v="2025-02-15T00:00:00"/>
    <n v="1"/>
    <n v="2025"/>
    <s v="Standard"/>
    <s v="Active"/>
    <s v="Md. Ripon Ali"/>
    <x v="1"/>
  </r>
  <r>
    <s v="RT-35"/>
    <x v="31"/>
    <x v="0"/>
    <d v="2025-02-15T00:00:00"/>
    <n v="1"/>
    <n v="2025"/>
    <s v="Premium"/>
    <s v="Active"/>
    <s v="Md. Ripon Ali"/>
    <x v="2"/>
  </r>
  <r>
    <s v="RT-36"/>
    <x v="32"/>
    <x v="0"/>
    <d v="2025-02-15T00:00:00"/>
    <n v="1"/>
    <n v="2025"/>
    <s v="Premium"/>
    <s v="Active"/>
    <s v="Md. Ripon Ali"/>
    <x v="2"/>
  </r>
  <r>
    <s v="RT-37"/>
    <x v="33"/>
    <x v="0"/>
    <d v="2025-02-15T00:00:00"/>
    <n v="1"/>
    <n v="2025"/>
    <s v="Premium"/>
    <s v="Active"/>
    <s v="Md. Ripon Ali"/>
    <x v="2"/>
  </r>
  <r>
    <s v="RT-38"/>
    <x v="34"/>
    <x v="0"/>
    <d v="2025-02-15T00:00:00"/>
    <n v="1"/>
    <n v="2025"/>
    <s v="Standard"/>
    <s v="Active"/>
    <s v="Md. Ripon Ali"/>
    <x v="2"/>
  </r>
  <r>
    <s v="RT-39"/>
    <x v="35"/>
    <x v="0"/>
    <d v="2025-02-15T00:00:00"/>
    <n v="1"/>
    <n v="2025"/>
    <s v="Standard"/>
    <s v="Active"/>
    <s v="Md. Ripon Ali"/>
    <x v="2"/>
  </r>
  <r>
    <s v="RT-40"/>
    <x v="36"/>
    <x v="0"/>
    <d v="2025-02-15T00:00:00"/>
    <n v="1"/>
    <n v="2025"/>
    <s v="Standard"/>
    <s v="Active"/>
    <s v="Md. Ripon Ali"/>
    <x v="2"/>
  </r>
  <r>
    <s v="RT-41"/>
    <x v="37"/>
    <x v="0"/>
    <d v="2025-02-15T00:00:00"/>
    <n v="1"/>
    <n v="2025"/>
    <s v="Standard"/>
    <s v="Active"/>
    <s v="Md. Ripon Ali"/>
    <x v="2"/>
  </r>
  <r>
    <s v="RT-42"/>
    <x v="38"/>
    <x v="0"/>
    <d v="2025-02-15T00:00:00"/>
    <n v="1"/>
    <n v="2025"/>
    <s v="Standard"/>
    <s v="Active"/>
    <s v="Md. Ripon Ali"/>
    <x v="2"/>
  </r>
  <r>
    <s v="RT-43"/>
    <x v="39"/>
    <x v="0"/>
    <d v="2025-02-15T00:00:00"/>
    <n v="1"/>
    <n v="2025"/>
    <s v="Standard"/>
    <s v="Active"/>
    <s v="Md. Ripon Ali"/>
    <x v="1"/>
  </r>
  <r>
    <s v="RT-44"/>
    <x v="40"/>
    <x v="0"/>
    <d v="2025-02-15T00:00:00"/>
    <n v="1"/>
    <n v="2025"/>
    <s v="Standard"/>
    <s v="Active"/>
    <s v="Md. Ripon Ali"/>
    <x v="1"/>
  </r>
  <r>
    <s v="RT-45"/>
    <x v="41"/>
    <x v="0"/>
    <d v="2025-02-15T00:00:00"/>
    <n v="1"/>
    <n v="2025"/>
    <s v="Standard"/>
    <s v="Active"/>
    <s v="Md. Ripon Ali"/>
    <x v="1"/>
  </r>
  <r>
    <s v="RT-46"/>
    <x v="42"/>
    <x v="0"/>
    <d v="2025-02-15T00:00:00"/>
    <n v="1"/>
    <n v="2025"/>
    <s v="Standard"/>
    <s v="Active"/>
    <s v="Md. Ripon Ali"/>
    <x v="1"/>
  </r>
  <r>
    <s v="RT-47"/>
    <x v="43"/>
    <x v="0"/>
    <d v="2025-02-15T00:00:00"/>
    <n v="1"/>
    <n v="2025"/>
    <s v="Standard"/>
    <s v="Active"/>
    <s v="Md. Ripon Ali"/>
    <x v="1"/>
  </r>
  <r>
    <s v="RT-48"/>
    <x v="44"/>
    <x v="0"/>
    <d v="2025-02-16T00:00:00"/>
    <n v="1"/>
    <n v="2025"/>
    <s v="Standard"/>
    <s v="Active"/>
    <s v="Md. Ripon Ali"/>
    <x v="0"/>
  </r>
  <r>
    <s v="RT-49"/>
    <x v="45"/>
    <x v="0"/>
    <d v="2025-02-16T00:00:00"/>
    <n v="1"/>
    <n v="2025"/>
    <s v="Standard"/>
    <s v="Active"/>
    <s v="Md. Ripon Ali"/>
    <x v="0"/>
  </r>
  <r>
    <s v="RT-50"/>
    <x v="46"/>
    <x v="0"/>
    <d v="2025-02-16T00:00:00"/>
    <n v="1"/>
    <n v="2025"/>
    <s v="Standard"/>
    <s v="Active"/>
    <s v="Md. Ripon Ali"/>
    <x v="0"/>
  </r>
  <r>
    <s v="RT-51"/>
    <x v="47"/>
    <x v="0"/>
    <d v="2025-02-16T00:00:00"/>
    <n v="1"/>
    <n v="2025"/>
    <s v="Premium"/>
    <s v="Active"/>
    <s v="Md. Ripon Ali"/>
    <x v="0"/>
  </r>
  <r>
    <s v="RT-52"/>
    <x v="48"/>
    <x v="0"/>
    <d v="2025-02-16T00:00:00"/>
    <n v="1"/>
    <n v="2025"/>
    <s v="Premium"/>
    <s v="Active"/>
    <s v="Md. Ripon Ali"/>
    <x v="0"/>
  </r>
  <r>
    <s v="RT-53"/>
    <x v="49"/>
    <x v="0"/>
    <d v="2025-02-16T00:00:00"/>
    <n v="1"/>
    <n v="2025"/>
    <s v="Normal"/>
    <s v="Active"/>
    <s v="Md. Ripon Ali"/>
    <x v="0"/>
  </r>
  <r>
    <s v="RT-54"/>
    <x v="50"/>
    <x v="0"/>
    <d v="2025-02-16T00:00:00"/>
    <n v="1"/>
    <n v="2025"/>
    <s v="Standard"/>
    <s v="Active"/>
    <s v="Md. Ripon Ali"/>
    <x v="0"/>
  </r>
  <r>
    <s v="RT-55"/>
    <x v="51"/>
    <x v="0"/>
    <d v="2025-02-16T00:00:00"/>
    <n v="1"/>
    <n v="2025"/>
    <s v="Standard"/>
    <s v="Active"/>
    <s v="Md. Ripon Ali"/>
    <x v="0"/>
  </r>
  <r>
    <s v="RT-56"/>
    <x v="52"/>
    <x v="0"/>
    <d v="2025-02-16T00:00:00"/>
    <n v="1"/>
    <n v="2025"/>
    <s v="Standard"/>
    <s v="Active"/>
    <s v="Md. Ripon Ali"/>
    <x v="0"/>
  </r>
  <r>
    <s v="RT-57"/>
    <x v="53"/>
    <x v="0"/>
    <d v="2025-02-16T00:00:00"/>
    <n v="1"/>
    <n v="2025"/>
    <s v="Standard"/>
    <s v="Active"/>
    <s v="Md. Ripon Ali"/>
    <x v="0"/>
  </r>
  <r>
    <s v="RT-58"/>
    <x v="54"/>
    <x v="0"/>
    <d v="2025-02-16T00:00:00"/>
    <n v="1"/>
    <n v="2025"/>
    <s v="Premium"/>
    <s v="Active"/>
    <s v="Md. Ripon Ali"/>
    <x v="0"/>
  </r>
  <r>
    <s v="RT-59"/>
    <x v="55"/>
    <x v="0"/>
    <d v="2025-02-16T00:00:00"/>
    <n v="1"/>
    <n v="2025"/>
    <s v="Standard"/>
    <s v="Active"/>
    <s v="Md. Ripon Ali"/>
    <x v="0"/>
  </r>
  <r>
    <s v="RT-04"/>
    <x v="2"/>
    <x v="1"/>
    <d v="2025-02-22T00:00:00"/>
    <n v="1"/>
    <n v="2025"/>
    <s v="Premium"/>
    <s v="Active"/>
    <s v="Md. Ripon Ali"/>
    <x v="2"/>
  </r>
  <r>
    <s v="RT-60"/>
    <x v="56"/>
    <x v="2"/>
    <d v="2025-04-29T00:00:00"/>
    <n v="1"/>
    <n v="2025"/>
    <s v="Standard"/>
    <s v="Active"/>
    <s v="Md. Ripon Ali"/>
    <x v="0"/>
  </r>
  <r>
    <s v="RT-61"/>
    <x v="57"/>
    <x v="2"/>
    <d v="2025-04-29T00:00:00"/>
    <n v="1"/>
    <n v="2025"/>
    <s v="Standard"/>
    <s v="Active"/>
    <s v="Md. Ripon Ali"/>
    <x v="2"/>
  </r>
  <r>
    <s v="RT-53"/>
    <x v="49"/>
    <x v="2"/>
    <d v="2025-04-29T00:00:00"/>
    <n v="1"/>
    <n v="2025"/>
    <s v="Normal"/>
    <s v="Active"/>
    <s v="Md. Ripon Ali"/>
    <x v="0"/>
  </r>
  <r>
    <s v="RT-04"/>
    <x v="2"/>
    <x v="2"/>
    <d v="2025-04-29T00:00:00"/>
    <n v="1"/>
    <n v="2025"/>
    <s v="Premium"/>
    <s v="Active"/>
    <s v="Md. Ripon Ali"/>
    <x v="2"/>
  </r>
  <r>
    <s v="RT-16"/>
    <x v="13"/>
    <x v="2"/>
    <d v="2025-04-29T00:00:00"/>
    <n v="1"/>
    <n v="2025"/>
    <s v="Standard"/>
    <s v="Active"/>
    <s v="Md. Ripon Ali"/>
    <x v="1"/>
  </r>
  <r>
    <s v="RT-23"/>
    <x v="20"/>
    <x v="2"/>
    <d v="2025-04-29T00:00:00"/>
    <n v="1"/>
    <n v="2025"/>
    <s v="Standard"/>
    <s v="Active"/>
    <s v="Md. Ripon Ali"/>
    <x v="2"/>
  </r>
  <r>
    <s v="RT-27"/>
    <x v="24"/>
    <x v="2"/>
    <d v="2025-04-29T00:00:00"/>
    <n v="1"/>
    <n v="2025"/>
    <s v="Premium"/>
    <s v="Active"/>
    <s v="Md. Ripon Ali"/>
    <x v="1"/>
  </r>
  <r>
    <s v="RT-07"/>
    <x v="4"/>
    <x v="2"/>
    <d v="2025-04-29T00:00:00"/>
    <n v="1"/>
    <n v="2025"/>
    <s v="Standard"/>
    <s v="Active"/>
    <s v="Md. Ripon Ali"/>
    <x v="1"/>
  </r>
  <r>
    <s v="RT-62"/>
    <x v="58"/>
    <x v="2"/>
    <d v="2025-04-29T00:00:00"/>
    <n v="1"/>
    <n v="2025"/>
    <s v="Standard"/>
    <s v="Active"/>
    <s v="Md. Ripon Ali"/>
    <x v="2"/>
  </r>
  <r>
    <s v="RT-35"/>
    <x v="31"/>
    <x v="2"/>
    <d v="2025-04-29T00:00:00"/>
    <n v="1"/>
    <n v="2025"/>
    <s v="Premium"/>
    <s v="Active"/>
    <s v="Md. Ripon Ali"/>
    <x v="2"/>
  </r>
  <r>
    <s v="RT-40"/>
    <x v="36"/>
    <x v="2"/>
    <d v="2025-04-29T00:00:00"/>
    <n v="1"/>
    <n v="2025"/>
    <s v="Standard"/>
    <s v="Active"/>
    <s v="Md. Ripon Ali"/>
    <x v="2"/>
  </r>
  <r>
    <s v="RT-33"/>
    <x v="29"/>
    <x v="2"/>
    <d v="2025-04-29T00:00:00"/>
    <n v="1"/>
    <n v="2025"/>
    <s v="Standard"/>
    <s v="Active"/>
    <s v="Md. Ripon Ali"/>
    <x v="1"/>
  </r>
  <r>
    <s v="RT-63"/>
    <x v="59"/>
    <x v="2"/>
    <d v="2025-04-29T00:00:00"/>
    <n v="1"/>
    <n v="2025"/>
    <s v="Standard"/>
    <s v="Active"/>
    <s v="Md. Ripon Ali"/>
    <x v="2"/>
  </r>
  <r>
    <s v="RT-30"/>
    <x v="26"/>
    <x v="2"/>
    <d v="2025-04-29T00:00:00"/>
    <n v="1"/>
    <n v="2025"/>
    <s v="Standard"/>
    <s v="Active"/>
    <s v="Md. Ripon Ali"/>
    <x v="1"/>
  </r>
  <r>
    <s v="RT-47"/>
    <x v="43"/>
    <x v="2"/>
    <d v="2025-04-29T00:00:00"/>
    <n v="1"/>
    <n v="2025"/>
    <s v="Standard"/>
    <s v="Active"/>
    <s v="Md. Ripon Ali"/>
    <x v="1"/>
  </r>
  <r>
    <s v="RT-46"/>
    <x v="42"/>
    <x v="2"/>
    <d v="2025-04-29T00:00:00"/>
    <n v="1"/>
    <n v="2025"/>
    <s v="Standard"/>
    <s v="Active"/>
    <s v="Md. Ripon Ali"/>
    <x v="1"/>
  </r>
  <r>
    <s v="RT-13"/>
    <x v="10"/>
    <x v="2"/>
    <d v="2025-04-29T00:00:00"/>
    <n v="1"/>
    <n v="2025"/>
    <s v="Standard"/>
    <s v="Active"/>
    <s v="Md. Ripon Ali"/>
    <x v="1"/>
  </r>
  <r>
    <s v="RT-51"/>
    <x v="47"/>
    <x v="2"/>
    <d v="2025-04-29T00:00:00"/>
    <n v="1"/>
    <n v="2025"/>
    <s v="Premium"/>
    <s v="Active"/>
    <s v="Md. Ripon Ali"/>
    <x v="0"/>
  </r>
  <r>
    <s v="RT-54"/>
    <x v="50"/>
    <x v="2"/>
    <d v="2025-04-29T00:00:00"/>
    <n v="1"/>
    <n v="2025"/>
    <s v="Standard"/>
    <s v="Active"/>
    <s v="Md. Ripon Ali"/>
    <x v="0"/>
  </r>
  <r>
    <s v="RT-34"/>
    <x v="30"/>
    <x v="2"/>
    <d v="2025-04-30T00:00:00"/>
    <n v="1"/>
    <n v="2025"/>
    <s v="Standard"/>
    <s v="Active"/>
    <s v="Md. Ripon Ali"/>
    <x v="1"/>
  </r>
  <r>
    <s v="RT-10"/>
    <x v="7"/>
    <x v="2"/>
    <d v="2025-04-30T00:00:00"/>
    <n v="1"/>
    <n v="2025"/>
    <s v="Standard"/>
    <s v="Active"/>
    <s v="Md. Ripon Ali"/>
    <x v="1"/>
  </r>
  <r>
    <s v="RT-49"/>
    <x v="45"/>
    <x v="2"/>
    <d v="2025-04-30T00:00:00"/>
    <n v="1"/>
    <n v="2025"/>
    <s v="Standard"/>
    <s v="Active"/>
    <s v="Md. Ripon Ali"/>
    <x v="0"/>
  </r>
  <r>
    <s v="RT-19"/>
    <x v="16"/>
    <x v="2"/>
    <d v="2025-04-30T00:00:00"/>
    <n v="1"/>
    <n v="2025"/>
    <s v="Standard"/>
    <s v="Active"/>
    <s v="Md. Ripon Ali"/>
    <x v="1"/>
  </r>
  <r>
    <s v="RT-64"/>
    <x v="60"/>
    <x v="2"/>
    <d v="2025-04-30T00:00:00"/>
    <n v="1"/>
    <n v="2025"/>
    <s v="Standard"/>
    <s v="Active"/>
    <s v="Md. Ripon Ali"/>
    <x v="1"/>
  </r>
  <r>
    <s v="RT-14"/>
    <x v="11"/>
    <x v="2"/>
    <d v="2025-04-30T00:00:00"/>
    <n v="1"/>
    <n v="2025"/>
    <s v="Standard"/>
    <s v="Active"/>
    <s v="Md. Ripon Ali"/>
    <x v="1"/>
  </r>
  <r>
    <s v="RT-15"/>
    <x v="12"/>
    <x v="2"/>
    <d v="2025-04-30T00:00:00"/>
    <n v="1"/>
    <n v="2025"/>
    <s v="Premium"/>
    <s v="Active"/>
    <s v="Md. Ripon Ali"/>
    <x v="1"/>
  </r>
  <r>
    <s v="RT-24"/>
    <x v="21"/>
    <x v="2"/>
    <d v="2025-04-30T00:00:00"/>
    <n v="1"/>
    <n v="2025"/>
    <s v="Standard"/>
    <s v="Active"/>
    <s v="Md. Ripon Ali"/>
    <x v="2"/>
  </r>
  <r>
    <s v="RT-58"/>
    <x v="54"/>
    <x v="2"/>
    <d v="2025-04-30T00:00:00"/>
    <n v="1"/>
    <n v="2025"/>
    <s v="Premium"/>
    <s v="Active"/>
    <s v="Md. Ripon Ali"/>
    <x v="0"/>
  </r>
  <r>
    <s v="RT-08"/>
    <x v="5"/>
    <x v="2"/>
    <d v="2025-04-30T00:00:00"/>
    <n v="1"/>
    <n v="2025"/>
    <s v="Standard"/>
    <s v="Active"/>
    <s v="Md. Ripon Ali"/>
    <x v="1"/>
  </r>
  <r>
    <s v="RT-01"/>
    <x v="0"/>
    <x v="2"/>
    <d v="2025-04-30T00:00:00"/>
    <n v="1"/>
    <n v="2025"/>
    <s v="Premium"/>
    <s v="Active"/>
    <s v="Md. Ripon Ali"/>
    <x v="0"/>
  </r>
  <r>
    <s v="RT-44"/>
    <x v="40"/>
    <x v="2"/>
    <d v="2025-04-30T00:00:00"/>
    <n v="1"/>
    <n v="2025"/>
    <s v="Standard"/>
    <s v="Active"/>
    <s v="Md. Ripon Ali"/>
    <x v="1"/>
  </r>
  <r>
    <s v="RT-03"/>
    <x v="1"/>
    <x v="2"/>
    <d v="2025-04-30T00:00:00"/>
    <n v="1"/>
    <n v="2025"/>
    <s v="Premium"/>
    <s v="Active"/>
    <s v="Md. Ripon Ali"/>
    <x v="1"/>
  </r>
  <r>
    <s v="RT-45"/>
    <x v="41"/>
    <x v="2"/>
    <d v="2025-04-30T00:00:00"/>
    <n v="1"/>
    <n v="2025"/>
    <s v="Standard"/>
    <s v="Active"/>
    <s v="Md. Ripon Ali"/>
    <x v="1"/>
  </r>
  <r>
    <s v="RT-41"/>
    <x v="37"/>
    <x v="2"/>
    <d v="2025-04-30T00:00:00"/>
    <n v="1"/>
    <n v="2025"/>
    <s v="Standard"/>
    <s v="Active"/>
    <s v="Md. Ripon Ali"/>
    <x v="2"/>
  </r>
  <r>
    <s v="RT-36"/>
    <x v="32"/>
    <x v="2"/>
    <d v="2025-04-30T00:00:00"/>
    <n v="1"/>
    <n v="2025"/>
    <s v="Premium"/>
    <s v="Active"/>
    <s v="Md. Ripon Ali"/>
    <x v="2"/>
  </r>
  <r>
    <s v="RT-21"/>
    <x v="18"/>
    <x v="2"/>
    <d v="2025-04-30T00:00:00"/>
    <n v="1"/>
    <n v="2025"/>
    <s v="Standard"/>
    <s v="Active"/>
    <s v="Md. Ripon Ali"/>
    <x v="1"/>
  </r>
  <r>
    <s v="RT-65"/>
    <x v="61"/>
    <x v="2"/>
    <d v="2025-04-30T00:00:00"/>
    <n v="1"/>
    <n v="2025"/>
    <s v="Standard"/>
    <s v="Active"/>
    <s v="Md. Ripon Ali"/>
    <x v="1"/>
  </r>
  <r>
    <s v="RT-11"/>
    <x v="8"/>
    <x v="2"/>
    <d v="2025-04-30T00:00:00"/>
    <n v="1"/>
    <n v="2025"/>
    <s v="Premium"/>
    <s v="Active"/>
    <s v="Md. Ripon Ali"/>
    <x v="1"/>
  </r>
  <r>
    <s v="RT-20"/>
    <x v="17"/>
    <x v="2"/>
    <d v="2025-04-30T00:00:00"/>
    <n v="1"/>
    <n v="2025"/>
    <s v="Standard"/>
    <s v="Active"/>
    <s v="Md. Ripon Ali"/>
    <x v="1"/>
  </r>
  <r>
    <s v="RT-66"/>
    <x v="62"/>
    <x v="2"/>
    <d v="2025-04-30T00:00:00"/>
    <n v="1"/>
    <n v="2025"/>
    <s v="Standard"/>
    <s v="Active"/>
    <s v="Md. Ripon Ali"/>
    <x v="1"/>
  </r>
  <r>
    <s v="RT-50"/>
    <x v="46"/>
    <x v="2"/>
    <d v="2025-04-30T00:00:00"/>
    <n v="1"/>
    <n v="2025"/>
    <s v="Standard"/>
    <s v="Active"/>
    <s v="Md. Ripon Ali"/>
    <x v="0"/>
  </r>
  <r>
    <s v="RT-55"/>
    <x v="51"/>
    <x v="2"/>
    <d v="2025-04-30T00:00:00"/>
    <n v="1"/>
    <n v="2025"/>
    <s v="Standard"/>
    <s v="Active"/>
    <s v="Md. Ripon Ali"/>
    <x v="0"/>
  </r>
  <r>
    <s v="RT-31"/>
    <x v="27"/>
    <x v="2"/>
    <d v="2025-04-30T00:00:00"/>
    <n v="1"/>
    <n v="2025"/>
    <s v="Standard"/>
    <s v="Active"/>
    <s v="Md. Ripon Ali"/>
    <x v="1"/>
  </r>
  <r>
    <s v="RT-67"/>
    <x v="63"/>
    <x v="2"/>
    <d v="2025-04-30T00:00:00"/>
    <n v="1"/>
    <n v="2025"/>
    <s v="Standard"/>
    <s v="Active"/>
    <s v="Md. Ripon Ali"/>
    <x v="0"/>
  </r>
  <r>
    <s v="RT-59"/>
    <x v="55"/>
    <x v="2"/>
    <d v="2025-04-30T00:00:00"/>
    <n v="1"/>
    <n v="2025"/>
    <s v="Standard"/>
    <s v="Active"/>
    <s v="Md. Ripon Ali"/>
    <x v="0"/>
  </r>
  <r>
    <s v="RT-17"/>
    <x v="14"/>
    <x v="2"/>
    <d v="2025-04-30T00:00:00"/>
    <n v="1"/>
    <n v="2025"/>
    <s v="Standard"/>
    <s v="Active"/>
    <s v="Md. Ripon Ali"/>
    <x v="1"/>
  </r>
  <r>
    <s v="RT-09"/>
    <x v="6"/>
    <x v="2"/>
    <d v="2025-04-30T00:00:00"/>
    <n v="1"/>
    <n v="2025"/>
    <s v="Standard"/>
    <s v="Active"/>
    <s v="Md. Ripon Ali"/>
    <x v="1"/>
  </r>
  <r>
    <s v="RT-52"/>
    <x v="48"/>
    <x v="2"/>
    <d v="2025-04-30T00:00:00"/>
    <n v="1"/>
    <n v="2025"/>
    <s v="Premium"/>
    <s v="Active"/>
    <s v="Md. Ripon Ali"/>
    <x v="0"/>
  </r>
  <r>
    <s v="RT-42"/>
    <x v="38"/>
    <x v="2"/>
    <d v="2025-04-30T00:00:00"/>
    <n v="1"/>
    <n v="2025"/>
    <s v="Standard"/>
    <s v="Active"/>
    <s v="Md. Ripon Ali"/>
    <x v="2"/>
  </r>
  <r>
    <s v="RT-48"/>
    <x v="44"/>
    <x v="2"/>
    <d v="2025-04-30T00:00:00"/>
    <n v="1"/>
    <n v="2025"/>
    <s v="Standard"/>
    <s v="Active"/>
    <s v="Md. Ripon Ali"/>
    <x v="0"/>
  </r>
  <r>
    <s v="RT-12"/>
    <x v="9"/>
    <x v="2"/>
    <d v="2025-04-30T00:00:00"/>
    <n v="1"/>
    <n v="2025"/>
    <s v="Premium"/>
    <s v="Active"/>
    <s v="Md. Ripon Ali"/>
    <x v="1"/>
  </r>
  <r>
    <s v="RT-18"/>
    <x v="15"/>
    <x v="2"/>
    <d v="2025-04-30T00:00:00"/>
    <n v="1"/>
    <n v="2025"/>
    <s v="Standard"/>
    <s v="Active"/>
    <s v="Md. Ripon Ali"/>
    <x v="1"/>
  </r>
  <r>
    <s v="RT-25"/>
    <x v="22"/>
    <x v="2"/>
    <d v="2025-04-30T00:00:00"/>
    <n v="1"/>
    <n v="2025"/>
    <s v="Standard"/>
    <s v="Active"/>
    <s v="Md. Ripon Ali"/>
    <x v="2"/>
  </r>
  <r>
    <s v="RT-32"/>
    <x v="28"/>
    <x v="2"/>
    <d v="2025-04-30T00:00:00"/>
    <n v="1"/>
    <n v="2025"/>
    <s v="Standard"/>
    <s v="Active"/>
    <s v="Md. Ripon Ali"/>
    <x v="1"/>
  </r>
  <r>
    <s v="RT-37"/>
    <x v="33"/>
    <x v="2"/>
    <d v="2025-04-30T00:00:00"/>
    <n v="1"/>
    <n v="2025"/>
    <s v="Premium"/>
    <s v="Active"/>
    <s v="Md. Ripon Ali"/>
    <x v="2"/>
  </r>
  <r>
    <s v="RT-43"/>
    <x v="39"/>
    <x v="2"/>
    <d v="2025-04-30T00:00:00"/>
    <n v="1"/>
    <n v="2025"/>
    <s v="Standard"/>
    <s v="Active"/>
    <s v="Md. Ripon Ali"/>
    <x v="1"/>
  </r>
  <r>
    <s v="RT-38"/>
    <x v="34"/>
    <x v="2"/>
    <d v="2025-04-30T00:00:00"/>
    <n v="1"/>
    <n v="2025"/>
    <s v="Standard"/>
    <s v="Active"/>
    <s v="Md. Ripon Ali"/>
    <x v="2"/>
  </r>
  <r>
    <s v="RT-68"/>
    <x v="64"/>
    <x v="2"/>
    <d v="2025-04-30T00:00:00"/>
    <n v="1"/>
    <n v="2025"/>
    <s v="Standard"/>
    <s v="Active"/>
    <s v="Md. Ripon Ali"/>
    <x v="2"/>
  </r>
  <r>
    <s v="RT-69"/>
    <x v="65"/>
    <x v="2"/>
    <d v="2025-05-05T00:00:00"/>
    <n v="1"/>
    <n v="2025"/>
    <s v="Normal"/>
    <s v="Active"/>
    <s v="Md. Ripon Ali"/>
    <x v="1"/>
  </r>
  <r>
    <s v="RT-70"/>
    <x v="66"/>
    <x v="2"/>
    <d v="2025-05-05T00:00:00"/>
    <n v="1"/>
    <n v="2025"/>
    <s v="Standard"/>
    <s v="Active"/>
    <s v="Md. Ripon Ali"/>
    <x v="0"/>
  </r>
  <r>
    <s v="RT-71"/>
    <x v="67"/>
    <x v="2"/>
    <d v="2025-05-05T00:00:00"/>
    <n v="1"/>
    <n v="2025"/>
    <s v="Standard"/>
    <s v="Active"/>
    <s v="Md. Ripon Ali"/>
    <x v="0"/>
  </r>
  <r>
    <s v="RT-57"/>
    <x v="53"/>
    <x v="2"/>
    <d v="2025-05-05T00:00:00"/>
    <n v="1"/>
    <n v="2025"/>
    <s v="Standard"/>
    <s v="Active"/>
    <s v="Md. Ripon Ali"/>
    <x v="0"/>
  </r>
  <r>
    <s v="RT-72"/>
    <x v="68"/>
    <x v="2"/>
    <d v="2025-05-05T00:00:00"/>
    <n v="1"/>
    <n v="2025"/>
    <s v="Standard"/>
    <s v="Active"/>
    <s v="Md. Ripon Ali"/>
    <x v="0"/>
  </r>
  <r>
    <s v="RT-22"/>
    <x v="19"/>
    <x v="2"/>
    <d v="2025-05-06T00:00:00"/>
    <n v="1"/>
    <n v="2025"/>
    <s v="Premium"/>
    <s v="Active"/>
    <s v="Md. Ripon Ali"/>
    <x v="2"/>
  </r>
  <r>
    <s v="RT-73"/>
    <x v="69"/>
    <x v="2"/>
    <d v="2025-05-25T00:00:00"/>
    <n v="1"/>
    <n v="2025"/>
    <s v="Standard"/>
    <s v="Active"/>
    <s v="Md. Ripon Ali"/>
    <x v="1"/>
  </r>
  <r>
    <s v="RT-74"/>
    <x v="70"/>
    <x v="2"/>
    <d v="2025-05-26T00:00:00"/>
    <n v="1"/>
    <n v="2025"/>
    <s v="Standard"/>
    <s v="Active"/>
    <s v="Md. Ripon Ali"/>
    <x v="1"/>
  </r>
  <r>
    <s v="RT-04"/>
    <x v="2"/>
    <x v="3"/>
    <d v="2025-05-27T00:00:00"/>
    <n v="1"/>
    <n v="2025"/>
    <s v="Premium"/>
    <s v="Active"/>
    <s v="Md. Ripon Ali"/>
    <x v="2"/>
  </r>
  <r>
    <s v="RT-35"/>
    <x v="31"/>
    <x v="3"/>
    <d v="2025-05-27T00:00:00"/>
    <n v="1"/>
    <n v="2025"/>
    <s v="Premium"/>
    <s v="Active"/>
    <s v="Md. Ripon Ali"/>
    <x v="2"/>
  </r>
  <r>
    <s v="RT-58"/>
    <x v="54"/>
    <x v="3"/>
    <d v="2025-05-27T00:00:00"/>
    <n v="1"/>
    <n v="2025"/>
    <s v="Premium"/>
    <s v="Active"/>
    <s v="Md. Ripon Ali"/>
    <x v="0"/>
  </r>
  <r>
    <s v="RT-03"/>
    <x v="1"/>
    <x v="3"/>
    <d v="2025-05-27T00:00:00"/>
    <n v="1"/>
    <n v="2025"/>
    <s v="Premium"/>
    <s v="Active"/>
    <s v="Md. Ripon Ali"/>
    <x v="1"/>
  </r>
  <r>
    <s v="RT-52"/>
    <x v="48"/>
    <x v="3"/>
    <d v="2025-05-27T00:00:00"/>
    <n v="1"/>
    <n v="2025"/>
    <s v="Premium"/>
    <s v="Active"/>
    <s v="Md. Ripon Ali"/>
    <x v="0"/>
  </r>
  <r>
    <s v="RT-75"/>
    <x v="71"/>
    <x v="2"/>
    <d v="2025-05-27T00:00:00"/>
    <n v="1"/>
    <n v="2025"/>
    <s v="Standard"/>
    <s v="Active"/>
    <s v="Md. Ripon Ali"/>
    <x v="0"/>
  </r>
  <r>
    <s v="RT-27"/>
    <x v="24"/>
    <x v="3"/>
    <d v="2025-05-28T00:00:00"/>
    <n v="1"/>
    <n v="2025"/>
    <s v="Premium"/>
    <s v="Active"/>
    <s v="Md. Ripon Ali"/>
    <x v="1"/>
  </r>
  <r>
    <s v="RT-51"/>
    <x v="47"/>
    <x v="3"/>
    <d v="2025-05-28T00:00:00"/>
    <n v="1"/>
    <n v="2025"/>
    <s v="Premium"/>
    <s v="Active"/>
    <s v="Md. Ripon Ali"/>
    <x v="0"/>
  </r>
  <r>
    <s v="RT-11"/>
    <x v="8"/>
    <x v="3"/>
    <d v="2025-05-28T00:00:00"/>
    <n v="1"/>
    <n v="2025"/>
    <s v="Premium"/>
    <s v="Active"/>
    <s v="Md. Ripon Ali"/>
    <x v="1"/>
  </r>
  <r>
    <s v="RT-12"/>
    <x v="9"/>
    <x v="3"/>
    <d v="2025-05-28T00:00:00"/>
    <n v="1"/>
    <n v="2025"/>
    <s v="Premium"/>
    <s v="Active"/>
    <s v="Md. Ripon Ali"/>
    <x v="1"/>
  </r>
  <r>
    <s v="RT-78"/>
    <x v="72"/>
    <x v="4"/>
    <d v="2025-11-20T00:00:00"/>
    <n v="1"/>
    <n v="2025"/>
    <s v="Normal"/>
    <s v="Active"/>
    <s v="Md. Ripon Ali"/>
    <x v="2"/>
  </r>
  <r>
    <s v="RT-46"/>
    <x v="42"/>
    <x v="3"/>
    <d v="2025-06-22T00:00:00"/>
    <n v="1"/>
    <n v="2025"/>
    <s v="Standard"/>
    <s v="Active"/>
    <s v="Md. Ripon Ali"/>
    <x v="1"/>
  </r>
  <r>
    <s v="RT-44"/>
    <x v="40"/>
    <x v="3"/>
    <d v="2025-06-22T00:00:00"/>
    <n v="1"/>
    <n v="2025"/>
    <s v="Standard"/>
    <s v="Active"/>
    <s v="Md. Ripon Ali"/>
    <x v="1"/>
  </r>
  <r>
    <s v="RT-45"/>
    <x v="41"/>
    <x v="3"/>
    <d v="2025-06-22T00:00:00"/>
    <n v="1"/>
    <n v="2025"/>
    <s v="Standard"/>
    <s v="Active"/>
    <s v="Md. Ripon Ali"/>
    <x v="1"/>
  </r>
  <r>
    <s v="RT-04"/>
    <x v="2"/>
    <x v="5"/>
    <d v="2025-06-22T00:00:00"/>
    <n v="1"/>
    <n v="2025"/>
    <s v="Premium"/>
    <s v="Active"/>
    <s v="Md. Ripon Ali"/>
    <x v="2"/>
  </r>
  <r>
    <s v="RT-58"/>
    <x v="54"/>
    <x v="5"/>
    <d v="2025-06-22T00:00:00"/>
    <n v="1"/>
    <n v="2025"/>
    <s v="Premium"/>
    <s v="Active"/>
    <s v="Md. Ripon Ali"/>
    <x v="0"/>
  </r>
  <r>
    <s v="RT-01"/>
    <x v="0"/>
    <x v="5"/>
    <d v="2025-06-22T00:00:00"/>
    <n v="1"/>
    <n v="2025"/>
    <s v="Premium"/>
    <s v="Active"/>
    <s v="Md. Ripon Ali"/>
    <x v="0"/>
  </r>
  <r>
    <s v="RT-44"/>
    <x v="40"/>
    <x v="5"/>
    <d v="2025-06-22T00:00:00"/>
    <n v="1"/>
    <n v="2025"/>
    <s v="Standard"/>
    <s v="Active"/>
    <s v="Md. Ripon Ali"/>
    <x v="1"/>
  </r>
  <r>
    <s v="RT-11"/>
    <x v="8"/>
    <x v="5"/>
    <d v="2025-06-22T00:00:00"/>
    <n v="1"/>
    <n v="2025"/>
    <s v="Premium"/>
    <s v="Active"/>
    <s v="Md. Ripon Ali"/>
    <x v="1"/>
  </r>
  <r>
    <s v="RT-04"/>
    <x v="2"/>
    <x v="6"/>
    <d v="2025-06-22T00:00:00"/>
    <n v="1"/>
    <n v="2025"/>
    <s v="Premium"/>
    <s v="Active"/>
    <s v="Md. Ripon Ali"/>
    <x v="2"/>
  </r>
  <r>
    <s v="RT-58"/>
    <x v="54"/>
    <x v="6"/>
    <d v="2025-06-22T00:00:00"/>
    <n v="1"/>
    <n v="2025"/>
    <s v="Premium"/>
    <s v="Active"/>
    <s v="Md. Ripon Ali"/>
    <x v="0"/>
  </r>
  <r>
    <s v="RT-36"/>
    <x v="32"/>
    <x v="3"/>
    <d v="2025-06-23T00:00:00"/>
    <n v="1"/>
    <n v="2025"/>
    <s v="Premium"/>
    <s v="Active"/>
    <s v="Md. Ripon Ali"/>
    <x v="2"/>
  </r>
  <r>
    <s v="RT-48"/>
    <x v="44"/>
    <x v="3"/>
    <d v="2025-06-23T00:00:00"/>
    <n v="1"/>
    <n v="2025"/>
    <s v="Standard"/>
    <s v="Active"/>
    <s v="Md. Ripon Ali"/>
    <x v="0"/>
  </r>
  <r>
    <s v="RT-22"/>
    <x v="19"/>
    <x v="3"/>
    <d v="2025-06-23T00:00:00"/>
    <n v="1"/>
    <n v="2025"/>
    <s v="Premium"/>
    <s v="Active"/>
    <s v="Md. Ripon Ali"/>
    <x v="2"/>
  </r>
  <r>
    <s v="RT-37"/>
    <x v="33"/>
    <x v="3"/>
    <d v="2025-06-23T00:00:00"/>
    <n v="1"/>
    <n v="2025"/>
    <s v="Premium"/>
    <s v="Active"/>
    <s v="Md. Ripon Ali"/>
    <x v="2"/>
  </r>
  <r>
    <s v="RT-27"/>
    <x v="24"/>
    <x v="5"/>
    <d v="2025-06-23T00:00:00"/>
    <n v="1"/>
    <n v="2025"/>
    <s v="Premium"/>
    <s v="Active"/>
    <s v="Md. Ripon Ali"/>
    <x v="1"/>
  </r>
  <r>
    <s v="RT-51"/>
    <x v="47"/>
    <x v="5"/>
    <d v="2025-06-23T00:00:00"/>
    <n v="1"/>
    <n v="2025"/>
    <s v="Premium"/>
    <s v="Active"/>
    <s v="Md. Ripon Ali"/>
    <x v="0"/>
  </r>
  <r>
    <s v="RT-24"/>
    <x v="21"/>
    <x v="5"/>
    <d v="2025-06-23T00:00:00"/>
    <n v="1"/>
    <n v="2025"/>
    <s v="Standard"/>
    <s v="Active"/>
    <s v="Md. Ripon Ali"/>
    <x v="2"/>
  </r>
  <r>
    <s v="RT-03"/>
    <x v="1"/>
    <x v="5"/>
    <d v="2025-06-23T00:00:00"/>
    <n v="1"/>
    <n v="2025"/>
    <s v="Premium"/>
    <s v="Active"/>
    <s v="Md. Ripon Ali"/>
    <x v="1"/>
  </r>
  <r>
    <s v="RT-45"/>
    <x v="41"/>
    <x v="5"/>
    <d v="2025-06-23T00:00:00"/>
    <n v="1"/>
    <n v="2025"/>
    <s v="Standard"/>
    <s v="Active"/>
    <s v="Md. Ripon Ali"/>
    <x v="1"/>
  </r>
  <r>
    <s v="RT-22"/>
    <x v="19"/>
    <x v="5"/>
    <d v="2025-06-23T00:00:00"/>
    <n v="1"/>
    <n v="2025"/>
    <s v="Premium"/>
    <s v="Active"/>
    <s v="Md. Ripon Ali"/>
    <x v="2"/>
  </r>
  <r>
    <s v="RT-24"/>
    <x v="21"/>
    <x v="6"/>
    <d v="2025-06-23T00:00:00"/>
    <n v="1"/>
    <n v="2025"/>
    <s v="Standard"/>
    <s v="Active"/>
    <s v="Md. Ripon Ali"/>
    <x v="2"/>
  </r>
  <r>
    <s v="RT-03"/>
    <x v="1"/>
    <x v="6"/>
    <d v="2025-06-23T00:00:00"/>
    <n v="1"/>
    <n v="2025"/>
    <s v="Premium"/>
    <s v="Active"/>
    <s v="Md. Ripon Ali"/>
    <x v="1"/>
  </r>
  <r>
    <s v="RT-24"/>
    <x v="21"/>
    <x v="3"/>
    <d v="2025-06-24T00:00:00"/>
    <n v="1"/>
    <n v="2025"/>
    <s v="Standard"/>
    <s v="Active"/>
    <s v="Md. Ripon Ali"/>
    <x v="2"/>
  </r>
  <r>
    <s v="RT-79"/>
    <x v="73"/>
    <x v="2"/>
    <d v="2025-06-25T00:00:00"/>
    <n v="1"/>
    <n v="2025"/>
    <s v="Standard"/>
    <s v="Active"/>
    <s v="Md. Ripon Ali"/>
    <x v="1"/>
  </r>
  <r>
    <s v="RT-25"/>
    <x v="22"/>
    <x v="3"/>
    <d v="2025-06-26T00:00:00"/>
    <n v="1"/>
    <n v="2025"/>
    <s v="Standard"/>
    <s v="Active"/>
    <s v="Md. Ripon Ali"/>
    <x v="2"/>
  </r>
  <r>
    <s v="RT-60"/>
    <x v="56"/>
    <x v="6"/>
    <d v="2025-08-09T00:00:00"/>
    <n v="1"/>
    <n v="2025"/>
    <s v="Standard"/>
    <s v="Active"/>
    <s v="Md. Ripon Ali"/>
    <x v="0"/>
  </r>
  <r>
    <s v="RT-14"/>
    <x v="11"/>
    <x v="6"/>
    <d v="2025-08-09T00:00:00"/>
    <n v="1"/>
    <n v="2025"/>
    <s v="Standard"/>
    <s v="Active"/>
    <s v="Md. Ripon Ali"/>
    <x v="1"/>
  </r>
  <r>
    <s v="RT-11"/>
    <x v="8"/>
    <x v="6"/>
    <d v="2025-08-09T00:00:00"/>
    <n v="1"/>
    <n v="2025"/>
    <s v="Premium"/>
    <s v="Active"/>
    <s v="Md. Ripon Ali"/>
    <x v="1"/>
  </r>
  <r>
    <s v="RT-09"/>
    <x v="6"/>
    <x v="6"/>
    <d v="2025-08-09T00:00:00"/>
    <n v="1"/>
    <n v="2025"/>
    <s v="Standard"/>
    <s v="Active"/>
    <s v="Md. Ripon Ali"/>
    <x v="1"/>
  </r>
  <r>
    <s v="RT-52"/>
    <x v="48"/>
    <x v="6"/>
    <d v="2025-08-09T00:00:00"/>
    <n v="1"/>
    <n v="2025"/>
    <s v="Premium"/>
    <s v="Active"/>
    <s v="Md. Ripon Ali"/>
    <x v="0"/>
  </r>
  <r>
    <s v="RT-80"/>
    <x v="74"/>
    <x v="6"/>
    <d v="2025-08-09T00:00:00"/>
    <n v="1"/>
    <n v="2025"/>
    <s v="Premium"/>
    <s v="Active"/>
    <s v="Md. Ripon Ali"/>
    <x v="0"/>
  </r>
  <r>
    <s v="RT-07"/>
    <x v="4"/>
    <x v="5"/>
    <d v="2025-08-09T00:00:00"/>
    <n v="1"/>
    <n v="2025"/>
    <s v="Standard"/>
    <s v="Active"/>
    <s v="Md. Ripon Ali"/>
    <x v="1"/>
  </r>
  <r>
    <s v="RT-13"/>
    <x v="10"/>
    <x v="5"/>
    <d v="2025-08-09T00:00:00"/>
    <n v="1"/>
    <n v="2025"/>
    <s v="Standard"/>
    <s v="Active"/>
    <s v="Md. Ripon Ali"/>
    <x v="1"/>
  </r>
  <r>
    <s v="RT-08"/>
    <x v="5"/>
    <x v="5"/>
    <d v="2025-08-09T00:00:00"/>
    <n v="1"/>
    <n v="2025"/>
    <s v="Standard"/>
    <s v="Active"/>
    <s v="Md. Ripon Ali"/>
    <x v="1"/>
  </r>
  <r>
    <s v="RT-80"/>
    <x v="74"/>
    <x v="5"/>
    <d v="2025-08-09T00:00:00"/>
    <n v="1"/>
    <n v="2025"/>
    <s v="Premium"/>
    <s v="Active"/>
    <s v="Md. Ripon Ali"/>
    <x v="0"/>
  </r>
  <r>
    <s v="RT-14"/>
    <x v="11"/>
    <x v="3"/>
    <d v="2025-08-09T00:00:00"/>
    <n v="1"/>
    <n v="2025"/>
    <s v="Standard"/>
    <s v="Active"/>
    <s v="Md. Ripon Ali"/>
    <x v="1"/>
  </r>
  <r>
    <s v="RT-80"/>
    <x v="74"/>
    <x v="3"/>
    <d v="2025-08-09T00:00:00"/>
    <n v="1"/>
    <n v="2025"/>
    <s v="Premium"/>
    <s v="Active"/>
    <s v="Md. Ripon Ali"/>
    <x v="0"/>
  </r>
  <r>
    <s v="RT-80"/>
    <x v="74"/>
    <x v="0"/>
    <d v="2025-08-09T00:00:00"/>
    <n v="1"/>
    <n v="2025"/>
    <s v="Premium"/>
    <s v="Active"/>
    <s v="Md. Ripon Ali"/>
    <x v="0"/>
  </r>
  <r>
    <s v="RT-80"/>
    <x v="74"/>
    <x v="2"/>
    <d v="2025-08-09T00:00:00"/>
    <n v="1"/>
    <n v="2025"/>
    <s v="Premium"/>
    <s v="Active"/>
    <s v="Md. Ripon Ali"/>
    <x v="0"/>
  </r>
  <r>
    <s v="RT-34"/>
    <x v="30"/>
    <x v="3"/>
    <d v="2025-08-09T00:00:00"/>
    <n v="1"/>
    <n v="2025"/>
    <s v="Standard"/>
    <s v="Active"/>
    <s v="Md. Ripon Ali"/>
    <x v="1"/>
  </r>
  <r>
    <s v="RT-34"/>
    <x v="30"/>
    <x v="5"/>
    <d v="2025-08-09T00:00:00"/>
    <n v="1"/>
    <n v="2025"/>
    <s v="Standard"/>
    <s v="Active"/>
    <s v="Md. Ripon Ali"/>
    <x v="1"/>
  </r>
  <r>
    <s v="RT-34"/>
    <x v="30"/>
    <x v="6"/>
    <d v="2025-08-09T00:00:00"/>
    <n v="1"/>
    <n v="2025"/>
    <s v="Standard"/>
    <s v="Active"/>
    <s v="Md. Ripon Ali"/>
    <x v="1"/>
  </r>
  <r>
    <s v="RT-47"/>
    <x v="43"/>
    <x v="5"/>
    <d v="2025-08-09T00:00:00"/>
    <n v="1"/>
    <n v="2025"/>
    <s v="Standard"/>
    <s v="Active"/>
    <s v="Md. Ripon Ali"/>
    <x v="1"/>
  </r>
  <r>
    <s v="RT-50"/>
    <x v="46"/>
    <x v="6"/>
    <d v="2025-08-09T00:00:00"/>
    <n v="1"/>
    <n v="2025"/>
    <s v="Standard"/>
    <s v="Active"/>
    <s v="Md. Ripon Ali"/>
    <x v="0"/>
  </r>
  <r>
    <s v="RT-08"/>
    <x v="5"/>
    <x v="6"/>
    <d v="2025-08-09T00:00:00"/>
    <n v="1"/>
    <n v="2025"/>
    <s v="Standard"/>
    <s v="Active"/>
    <s v="Md. Ripon Ali"/>
    <x v="1"/>
  </r>
  <r>
    <s v="RT-39"/>
    <x v="35"/>
    <x v="2"/>
    <d v="2025-08-12T00:00:00"/>
    <n v="1"/>
    <n v="2025"/>
    <s v="Standard"/>
    <s v="Active"/>
    <s v="Md. Ripon Ali"/>
    <x v="2"/>
  </r>
  <r>
    <s v="RT-35"/>
    <x v="31"/>
    <x v="6"/>
    <d v="2025-08-25T00:00:00"/>
    <n v="1"/>
    <n v="2025"/>
    <s v="Premium"/>
    <s v="Active"/>
    <s v="Md. Ripon Ali"/>
    <x v="2"/>
  </r>
  <r>
    <s v="RT-46"/>
    <x v="42"/>
    <x v="6"/>
    <d v="2025-08-25T00:00:00"/>
    <n v="1"/>
    <n v="2025"/>
    <s v="Standard"/>
    <s v="Active"/>
    <s v="Md. Ripon Ali"/>
    <x v="1"/>
  </r>
  <r>
    <s v="RT-44"/>
    <x v="40"/>
    <x v="6"/>
    <d v="2025-08-25T00:00:00"/>
    <n v="1"/>
    <n v="2025"/>
    <s v="Standard"/>
    <s v="Active"/>
    <s v="Md. Ripon Ali"/>
    <x v="1"/>
  </r>
  <r>
    <s v="RT-45"/>
    <x v="41"/>
    <x v="6"/>
    <d v="2025-08-25T00:00:00"/>
    <n v="1"/>
    <n v="2025"/>
    <s v="Standard"/>
    <s v="Active"/>
    <s v="Md. Ripon Ali"/>
    <x v="1"/>
  </r>
  <r>
    <s v="RT-41"/>
    <x v="37"/>
    <x v="6"/>
    <d v="2025-08-25T00:00:00"/>
    <n v="1"/>
    <n v="2025"/>
    <s v="Standard"/>
    <s v="Active"/>
    <s v="Md. Ripon Ali"/>
    <x v="2"/>
  </r>
  <r>
    <s v="RT-25"/>
    <x v="22"/>
    <x v="6"/>
    <d v="2025-08-25T00:00:00"/>
    <n v="1"/>
    <n v="2025"/>
    <s v="Standard"/>
    <s v="Active"/>
    <s v="Md. Ripon Ali"/>
    <x v="2"/>
  </r>
  <r>
    <s v="RT-35"/>
    <x v="31"/>
    <x v="5"/>
    <d v="2025-08-25T00:00:00"/>
    <n v="1"/>
    <n v="2025"/>
    <s v="Premium"/>
    <s v="Active"/>
    <s v="Md. Ripon Ali"/>
    <x v="2"/>
  </r>
  <r>
    <s v="RT-54"/>
    <x v="50"/>
    <x v="5"/>
    <d v="2025-08-25T00:00:00"/>
    <n v="1"/>
    <n v="2025"/>
    <s v="Standard"/>
    <s v="Active"/>
    <s v="Md. Ripon Ali"/>
    <x v="0"/>
  </r>
  <r>
    <s v="RT-41"/>
    <x v="37"/>
    <x v="5"/>
    <d v="2025-08-25T00:00:00"/>
    <n v="1"/>
    <n v="2025"/>
    <s v="Standard"/>
    <s v="Active"/>
    <s v="Md. Ripon Ali"/>
    <x v="2"/>
  </r>
  <r>
    <s v="RT-37"/>
    <x v="33"/>
    <x v="5"/>
    <d v="2025-08-25T00:00:00"/>
    <n v="1"/>
    <n v="2025"/>
    <s v="Premium"/>
    <s v="Active"/>
    <s v="Md. Ripon Ali"/>
    <x v="2"/>
  </r>
  <r>
    <s v="RT-81"/>
    <x v="75"/>
    <x v="2"/>
    <d v="2025-08-28T00:00:00"/>
    <n v="1"/>
    <n v="2025"/>
    <s v="Standard"/>
    <s v="Active"/>
    <s v="Md. Ripon Ali"/>
    <x v="1"/>
  </r>
  <r>
    <s v="RT-82"/>
    <x v="76"/>
    <x v="2"/>
    <d v="2025-08-28T00:00:00"/>
    <n v="1"/>
    <n v="2025"/>
    <s v="Standard"/>
    <s v="Active"/>
    <s v="Md. Ripon Ali"/>
    <x v="2"/>
  </r>
  <r>
    <s v="RT-83"/>
    <x v="77"/>
    <x v="2"/>
    <d v="2025-08-28T00:00:00"/>
    <n v="1"/>
    <n v="2025"/>
    <s v="Standard"/>
    <s v="Active"/>
    <s v="Md. Ripon Ali"/>
    <x v="2"/>
  </r>
  <r>
    <s v="RT-82"/>
    <x v="76"/>
    <x v="0"/>
    <d v="2025-08-28T00:00:00"/>
    <n v="1"/>
    <n v="2025"/>
    <s v="Standard"/>
    <s v="Active"/>
    <s v="Md. Ripon Ali"/>
    <x v="2"/>
  </r>
  <r>
    <s v="RT-60"/>
    <x v="56"/>
    <x v="5"/>
    <d v="2025-08-30T00:00:00"/>
    <n v="1"/>
    <n v="2025"/>
    <s v="Standard"/>
    <s v="Active"/>
    <s v="Md. Ripon Ali"/>
    <x v="0"/>
  </r>
  <r>
    <s v="RT-84"/>
    <x v="78"/>
    <x v="2"/>
    <d v="2025-08-31T00:00:00"/>
    <n v="1"/>
    <n v="2025"/>
    <s v="Standard"/>
    <s v="Active"/>
    <s v="Md. Ripon Ali"/>
    <x v="2"/>
  </r>
  <r>
    <s v="RT-12"/>
    <x v="9"/>
    <x v="5"/>
    <d v="2025-09-02T00:00:00"/>
    <n v="1"/>
    <n v="2025"/>
    <s v="Premium"/>
    <s v="Active"/>
    <s v="Md. Ripon Ali"/>
    <x v="1"/>
  </r>
  <r>
    <s v="RT-85"/>
    <x v="79"/>
    <x v="2"/>
    <d v="2025-09-06T00:00:00"/>
    <n v="1"/>
    <n v="2025"/>
    <s v="Standard"/>
    <s v="Active"/>
    <s v="Md. Ripon Ali"/>
    <x v="2"/>
  </r>
  <r>
    <s v="RT-86"/>
    <x v="80"/>
    <x v="2"/>
    <d v="2025-09-10T00:00:00"/>
    <n v="1"/>
    <n v="2025"/>
    <s v="Standard"/>
    <s v="Active"/>
    <s v="Md. Ripon Ali"/>
    <x v="2"/>
  </r>
  <r>
    <s v="RT-87"/>
    <x v="81"/>
    <x v="2"/>
    <d v="2025-09-10T00:00:00"/>
    <n v="1"/>
    <n v="2025"/>
    <s v="Standard"/>
    <s v="Active"/>
    <s v="Md. Ripon Ali"/>
    <x v="2"/>
  </r>
  <r>
    <s v="RT-88"/>
    <x v="82"/>
    <x v="2"/>
    <d v="2025-09-10T00:00:00"/>
    <n v="1"/>
    <n v="2025"/>
    <s v="Normal"/>
    <s v="Active"/>
    <s v="Md. Ripon Ali"/>
    <x v="2"/>
  </r>
  <r>
    <s v="RT-89"/>
    <x v="83"/>
    <x v="2"/>
    <d v="2025-09-10T00:00:00"/>
    <n v="1"/>
    <n v="2025"/>
    <s v="Standard"/>
    <s v="Active"/>
    <s v="Md. Ripon Ali"/>
    <x v="2"/>
  </r>
  <r>
    <s v="RT-89"/>
    <x v="83"/>
    <x v="0"/>
    <d v="2025-09-10T00:00:00"/>
    <n v="1"/>
    <n v="2025"/>
    <s v="Standard"/>
    <s v="Active"/>
    <s v="Md. Ripon Ali"/>
    <x v="2"/>
  </r>
  <r>
    <s v="RT-90"/>
    <x v="84"/>
    <x v="2"/>
    <d v="2025-09-16T00:00:00"/>
    <n v="1"/>
    <n v="2025"/>
    <s v="Standard"/>
    <s v="Active"/>
    <s v="Md. Ripon Ali"/>
    <x v="2"/>
  </r>
  <r>
    <s v="RT-61"/>
    <x v="57"/>
    <x v="0"/>
    <d v="2025-09-16T00:00:00"/>
    <n v="1"/>
    <n v="2025"/>
    <s v="Standard"/>
    <s v="Active"/>
    <s v="Md. Ripon Ali"/>
    <x v="2"/>
  </r>
  <r>
    <s v="RT-91"/>
    <x v="85"/>
    <x v="2"/>
    <d v="2025-09-27T00:00:00"/>
    <n v="1"/>
    <n v="2025"/>
    <s v="Normal"/>
    <s v="Active"/>
    <s v="Md. Ripon Ali"/>
    <x v="1"/>
  </r>
  <r>
    <s v="RT-91"/>
    <x v="85"/>
    <x v="0"/>
    <d v="2025-09-27T00:00:00"/>
    <n v="1"/>
    <n v="2025"/>
    <s v="Normal"/>
    <s v="Active"/>
    <s v="Md. Ripon Ali"/>
    <x v="1"/>
  </r>
  <r>
    <s v="RT-34"/>
    <x v="30"/>
    <x v="4"/>
    <d v="2025-10-08T00:00:00"/>
    <n v="1"/>
    <n v="2025"/>
    <s v="Standard"/>
    <s v="Active"/>
    <s v="Md. Ripon Ali"/>
    <x v="1"/>
  </r>
  <r>
    <s v="RT-34"/>
    <x v="30"/>
    <x v="7"/>
    <d v="2025-10-20T00:00:00"/>
    <n v="1"/>
    <n v="2025"/>
    <s v="Standard"/>
    <s v="Active"/>
    <s v="Md. Ripon Ali"/>
    <x v="1"/>
  </r>
  <r>
    <s v="RT-80"/>
    <x v="74"/>
    <x v="4"/>
    <d v="2025-10-08T00:00:00"/>
    <n v="1"/>
    <n v="2025"/>
    <s v="Premium"/>
    <s v="Active"/>
    <s v="Md. Ripon Ali"/>
    <x v="0"/>
  </r>
  <r>
    <s v="RT-80"/>
    <x v="74"/>
    <x v="7"/>
    <d v="2025-10-17T00:00:00"/>
    <n v="1"/>
    <n v="2025"/>
    <s v="Premium"/>
    <s v="Active"/>
    <s v="Md. Ripon Ali"/>
    <x v="0"/>
  </r>
  <r>
    <s v="RT-86"/>
    <x v="80"/>
    <x v="4"/>
    <d v="2025-10-09T00:00:00"/>
    <n v="1"/>
    <n v="2025"/>
    <s v="Standard"/>
    <s v="Active"/>
    <s v="Md. Ripon Ali"/>
    <x v="2"/>
  </r>
  <r>
    <s v="RT-91"/>
    <x v="85"/>
    <x v="4"/>
    <d v="2025-10-07T00:00:00"/>
    <n v="1"/>
    <n v="2025"/>
    <s v="Normal"/>
    <s v="Active"/>
    <s v="Md. Ripon Ali"/>
    <x v="1"/>
  </r>
  <r>
    <s v="RT-91"/>
    <x v="85"/>
    <x v="7"/>
    <d v="2025-10-17T00:00:00"/>
    <n v="1"/>
    <n v="2025"/>
    <s v="Normal"/>
    <s v="Active"/>
    <s v="Md. Ripon Ali"/>
    <x v="1"/>
  </r>
  <r>
    <s v="RT-92"/>
    <x v="86"/>
    <x v="4"/>
    <d v="2025-10-08T00:00:00"/>
    <n v="1"/>
    <n v="2025"/>
    <s v="Standard"/>
    <s v="Active"/>
    <s v="Md. Ripon Ali"/>
    <x v="2"/>
  </r>
  <r>
    <s v="RT-43"/>
    <x v="39"/>
    <x v="4"/>
    <d v="2025-10-09T00:00:00"/>
    <n v="1"/>
    <n v="2025"/>
    <s v="Standard"/>
    <s v="Active"/>
    <s v="Md. Ripon Ali"/>
    <x v="1"/>
  </r>
  <r>
    <s v="RT-43"/>
    <x v="39"/>
    <x v="7"/>
    <d v="2025-10-20T00:00:00"/>
    <n v="1"/>
    <n v="2025"/>
    <s v="Standard"/>
    <s v="Active"/>
    <s v="Md. Ripon Ali"/>
    <x v="1"/>
  </r>
  <r>
    <s v="RT-01"/>
    <x v="0"/>
    <x v="4"/>
    <d v="2025-10-08T00:00:00"/>
    <n v="1"/>
    <n v="2025"/>
    <s v="Premium"/>
    <s v="Active"/>
    <s v="Md. Ripon Ali"/>
    <x v="0"/>
  </r>
  <r>
    <s v="RT-01"/>
    <x v="0"/>
    <x v="7"/>
    <d v="2025-10-17T00:00:00"/>
    <n v="1"/>
    <n v="2025"/>
    <s v="Premium"/>
    <s v="Active"/>
    <s v="Md. Ripon Ali"/>
    <x v="0"/>
  </r>
  <r>
    <s v="RT-58"/>
    <x v="54"/>
    <x v="4"/>
    <d v="2025-10-08T00:00:00"/>
    <n v="1"/>
    <n v="2025"/>
    <s v="Premium"/>
    <s v="Active"/>
    <s v="Md. Ripon Ali"/>
    <x v="0"/>
  </r>
  <r>
    <s v="RT-58"/>
    <x v="54"/>
    <x v="7"/>
    <d v="2025-10-17T00:00:00"/>
    <n v="1"/>
    <n v="2025"/>
    <s v="Premium"/>
    <s v="Active"/>
    <s v="Md. Ripon Ali"/>
    <x v="0"/>
  </r>
  <r>
    <s v="RT-27"/>
    <x v="24"/>
    <x v="4"/>
    <d v="2025-10-07T00:00:00"/>
    <n v="1"/>
    <n v="2025"/>
    <s v="Premium"/>
    <s v="Active"/>
    <s v="Md. Ripon Ali"/>
    <x v="1"/>
  </r>
  <r>
    <s v="RT-27"/>
    <x v="24"/>
    <x v="7"/>
    <d v="2025-10-20T00:00:00"/>
    <n v="1"/>
    <n v="2025"/>
    <s v="Premium"/>
    <s v="Active"/>
    <s v="Md. Ripon Ali"/>
    <x v="1"/>
  </r>
  <r>
    <s v="RT-04"/>
    <x v="2"/>
    <x v="4"/>
    <d v="2025-10-08T00:00:00"/>
    <n v="1"/>
    <n v="2025"/>
    <s v="Premium"/>
    <s v="Active"/>
    <s v="Md. Ripon Ali"/>
    <x v="2"/>
  </r>
  <r>
    <s v="RT-04"/>
    <x v="2"/>
    <x v="7"/>
    <d v="2025-10-20T00:00:00"/>
    <n v="1"/>
    <n v="2025"/>
    <s v="Premium"/>
    <s v="Active"/>
    <s v="Md. Ripon Ali"/>
    <x v="2"/>
  </r>
  <r>
    <s v="RT-52"/>
    <x v="48"/>
    <x v="4"/>
    <d v="2025-10-08T00:00:00"/>
    <n v="1"/>
    <n v="2025"/>
    <s v="Premium"/>
    <s v="Active"/>
    <s v="Md. Ripon Ali"/>
    <x v="0"/>
  </r>
  <r>
    <s v="RT-52"/>
    <x v="48"/>
    <x v="7"/>
    <d v="2025-10-17T00:00:00"/>
    <n v="1"/>
    <n v="2025"/>
    <s v="Premium"/>
    <s v="Active"/>
    <s v="Md. Ripon Ali"/>
    <x v="0"/>
  </r>
  <r>
    <s v="RT-37"/>
    <x v="33"/>
    <x v="4"/>
    <d v="2025-10-08T00:00:00"/>
    <n v="1"/>
    <n v="2025"/>
    <s v="Premium"/>
    <s v="Active"/>
    <s v="Md. Ripon Ali"/>
    <x v="2"/>
  </r>
  <r>
    <s v="RT-37"/>
    <x v="33"/>
    <x v="7"/>
    <d v="2025-10-17T00:00:00"/>
    <n v="1"/>
    <n v="2025"/>
    <s v="Premium"/>
    <s v="Active"/>
    <s v="Md. Ripon Ali"/>
    <x v="2"/>
  </r>
  <r>
    <s v="RT-59"/>
    <x v="55"/>
    <x v="4"/>
    <d v="2025-10-08T00:00:00"/>
    <n v="1"/>
    <n v="2025"/>
    <s v="Standard"/>
    <s v="Active"/>
    <s v="Md. Ripon Ali"/>
    <x v="0"/>
  </r>
  <r>
    <s v="RT-59"/>
    <x v="55"/>
    <x v="7"/>
    <d v="2025-10-17T00:00:00"/>
    <n v="1"/>
    <n v="2025"/>
    <s v="Standard"/>
    <s v="Active"/>
    <s v="Md. Ripon Ali"/>
    <x v="0"/>
  </r>
  <r>
    <s v="RT-48"/>
    <x v="44"/>
    <x v="4"/>
    <d v="2025-10-08T00:00:00"/>
    <n v="1"/>
    <n v="2025"/>
    <s v="Standard"/>
    <s v="Active"/>
    <s v="Md. Ripon Ali"/>
    <x v="0"/>
  </r>
  <r>
    <s v="RT-48"/>
    <x v="44"/>
    <x v="7"/>
    <d v="2025-10-20T00:00:00"/>
    <n v="1"/>
    <n v="2025"/>
    <s v="Standard"/>
    <s v="Active"/>
    <s v="Md. Ripon Ali"/>
    <x v="0"/>
  </r>
  <r>
    <s v="RT-15"/>
    <x v="12"/>
    <x v="4"/>
    <d v="2025-10-08T00:00:00"/>
    <n v="1"/>
    <n v="2025"/>
    <s v="Premium"/>
    <s v="Active"/>
    <s v="Md. Ripon Ali"/>
    <x v="1"/>
  </r>
  <r>
    <s v="RT-15"/>
    <x v="12"/>
    <x v="7"/>
    <d v="2025-10-20T00:00:00"/>
    <n v="1"/>
    <n v="2025"/>
    <s v="Premium"/>
    <s v="Active"/>
    <s v="Md. Ripon Ali"/>
    <x v="1"/>
  </r>
  <r>
    <s v="RT-40"/>
    <x v="36"/>
    <x v="4"/>
    <d v="2025-10-09T00:00:00"/>
    <n v="1"/>
    <n v="2025"/>
    <s v="Standard"/>
    <s v="Active"/>
    <s v="Md. Ripon Ali"/>
    <x v="2"/>
  </r>
  <r>
    <s v="RT-40"/>
    <x v="36"/>
    <x v="7"/>
    <d v="2025-10-17T00:00:00"/>
    <n v="1"/>
    <n v="2025"/>
    <s v="Standard"/>
    <s v="Active"/>
    <s v="Md. Ripon Ali"/>
    <x v="2"/>
  </r>
  <r>
    <s v="RT-22"/>
    <x v="19"/>
    <x v="4"/>
    <d v="2025-10-08T00:00:00"/>
    <n v="1"/>
    <n v="2025"/>
    <s v="Premium"/>
    <s v="Active"/>
    <s v="Md. Ripon Ali"/>
    <x v="2"/>
  </r>
  <r>
    <s v="RT-22"/>
    <x v="19"/>
    <x v="7"/>
    <d v="2025-10-20T00:00:00"/>
    <n v="1"/>
    <n v="2025"/>
    <s v="Premium"/>
    <s v="Active"/>
    <s v="Md. Ripon Ali"/>
    <x v="2"/>
  </r>
  <r>
    <s v="RT-35"/>
    <x v="31"/>
    <x v="4"/>
    <d v="2025-10-08T00:00:00"/>
    <n v="1"/>
    <n v="2025"/>
    <s v="Premium"/>
    <s v="Active"/>
    <s v="Md. Ripon Ali"/>
    <x v="2"/>
  </r>
  <r>
    <s v="RT-35"/>
    <x v="31"/>
    <x v="7"/>
    <d v="2025-10-17T00:00:00"/>
    <n v="1"/>
    <n v="2025"/>
    <s v="Premium"/>
    <s v="Active"/>
    <s v="Md. Ripon Ali"/>
    <x v="2"/>
  </r>
  <r>
    <s v="RT-24"/>
    <x v="21"/>
    <x v="4"/>
    <d v="2025-10-08T00:00:00"/>
    <n v="1"/>
    <n v="2025"/>
    <s v="Standard"/>
    <s v="Active"/>
    <s v="Md. Ripon Ali"/>
    <x v="2"/>
  </r>
  <r>
    <s v="RT-24"/>
    <x v="21"/>
    <x v="7"/>
    <d v="2025-10-17T00:00:00"/>
    <n v="1"/>
    <n v="2025"/>
    <s v="Standard"/>
    <s v="Active"/>
    <s v="Md. Ripon Ali"/>
    <x v="2"/>
  </r>
  <r>
    <s v="RT-54"/>
    <x v="50"/>
    <x v="4"/>
    <d v="2025-10-08T00:00:00"/>
    <n v="1"/>
    <n v="2025"/>
    <s v="Standard"/>
    <s v="Active"/>
    <s v="Md. Ripon Ali"/>
    <x v="0"/>
  </r>
  <r>
    <s v="RT-04"/>
    <x v="2"/>
    <x v="8"/>
    <d v="2025-10-17T00:00:00"/>
    <n v="1"/>
    <n v="2025"/>
    <s v="Premium"/>
    <s v="Active"/>
    <s v="Md. Ripon Ali"/>
    <x v="2"/>
  </r>
  <r>
    <s v="RT-03"/>
    <x v="1"/>
    <x v="8"/>
    <d v="2025-10-17T00:00:00"/>
    <n v="1"/>
    <n v="2025"/>
    <s v="Premium"/>
    <s v="Active"/>
    <s v="Md. Ripon Ali"/>
    <x v="1"/>
  </r>
  <r>
    <s v="RT-80"/>
    <x v="74"/>
    <x v="8"/>
    <d v="2025-10-17T00:00:00"/>
    <n v="1"/>
    <n v="2025"/>
    <s v="Premium"/>
    <s v="Active"/>
    <s v="Md. Ripon Ali"/>
    <x v="0"/>
  </r>
  <r>
    <s v="RT-54"/>
    <x v="50"/>
    <x v="7"/>
    <d v="2025-10-17T00:00:00"/>
    <n v="1"/>
    <n v="2025"/>
    <s v="Standard"/>
    <s v="Active"/>
    <s v="Md. Ripon Ali"/>
    <x v="0"/>
  </r>
  <r>
    <s v="RT-93"/>
    <x v="87"/>
    <x v="4"/>
    <d v="2025-10-08T00:00:00"/>
    <n v="1"/>
    <n v="2025"/>
    <s v="Standard"/>
    <s v="Active"/>
    <s v="Md. Ripon Ali"/>
    <x v="2"/>
  </r>
  <r>
    <s v="RT-23"/>
    <x v="20"/>
    <x v="4"/>
    <d v="2025-10-08T00:00:00"/>
    <n v="1"/>
    <n v="2025"/>
    <s v="Standard"/>
    <s v="Active"/>
    <s v="Md. Ripon Ali"/>
    <x v="2"/>
  </r>
  <r>
    <s v="RT-23"/>
    <x v="20"/>
    <x v="7"/>
    <d v="2025-10-17T00:00:00"/>
    <n v="1"/>
    <n v="2025"/>
    <s v="Standard"/>
    <s v="Active"/>
    <s v="Md. Ripon Ali"/>
    <x v="2"/>
  </r>
  <r>
    <s v="RT-89"/>
    <x v="83"/>
    <x v="4"/>
    <d v="2025-10-08T00:00:00"/>
    <n v="1"/>
    <n v="2025"/>
    <s v="Standard"/>
    <s v="Active"/>
    <s v="Md. Ripon Ali"/>
    <x v="2"/>
  </r>
  <r>
    <s v="RT-89"/>
    <x v="83"/>
    <x v="7"/>
    <d v="2025-10-17T00:00:00"/>
    <n v="1"/>
    <n v="2025"/>
    <s v="Standard"/>
    <s v="Active"/>
    <s v="Md. Ripon Ali"/>
    <x v="2"/>
  </r>
  <r>
    <s v="RT-25"/>
    <x v="22"/>
    <x v="4"/>
    <d v="2025-10-08T00:00:00"/>
    <n v="1"/>
    <n v="2025"/>
    <s v="Standard"/>
    <s v="Active"/>
    <s v="Md. Ripon Ali"/>
    <x v="2"/>
  </r>
  <r>
    <s v="RT-25"/>
    <x v="22"/>
    <x v="7"/>
    <d v="2025-10-17T00:00:00"/>
    <n v="1"/>
    <n v="2025"/>
    <s v="Standard"/>
    <s v="Active"/>
    <s v="Md. Ripon Ali"/>
    <x v="2"/>
  </r>
  <r>
    <s v="RT-87"/>
    <x v="81"/>
    <x v="4"/>
    <d v="2025-10-09T00:00:00"/>
    <n v="1"/>
    <n v="2025"/>
    <s v="Standard"/>
    <s v="Active"/>
    <s v="Md. Ripon Ali"/>
    <x v="2"/>
  </r>
  <r>
    <s v="RT-94"/>
    <x v="88"/>
    <x v="4"/>
    <d v="2025-10-09T00:00:00"/>
    <n v="1"/>
    <n v="2025"/>
    <s v="Standard"/>
    <s v="Active"/>
    <s v="Md. Ripon Ali"/>
    <x v="2"/>
  </r>
  <r>
    <s v="RT-94"/>
    <x v="88"/>
    <x v="7"/>
    <d v="2025-10-17T00:00:00"/>
    <n v="1"/>
    <n v="2025"/>
    <s v="Standard"/>
    <s v="Active"/>
    <s v="Md. Ripon Ali"/>
    <x v="2"/>
  </r>
  <r>
    <s v="RT-68"/>
    <x v="64"/>
    <x v="4"/>
    <d v="2025-10-09T00:00:00"/>
    <n v="1"/>
    <n v="2025"/>
    <s v="Standard"/>
    <s v="Active"/>
    <s v="Md. Ripon Ali"/>
    <x v="2"/>
  </r>
  <r>
    <s v="RT-68"/>
    <x v="64"/>
    <x v="7"/>
    <d v="2025-10-20T00:00:00"/>
    <n v="1"/>
    <n v="2025"/>
    <s v="Standard"/>
    <s v="Active"/>
    <s v="Md. Ripon Ali"/>
    <x v="2"/>
  </r>
  <r>
    <s v="RT-50"/>
    <x v="46"/>
    <x v="4"/>
    <d v="2025-10-08T00:00:00"/>
    <n v="1"/>
    <n v="2025"/>
    <s v="Standard"/>
    <s v="Active"/>
    <s v="Md. Ripon Ali"/>
    <x v="0"/>
  </r>
  <r>
    <s v="RT-50"/>
    <x v="46"/>
    <x v="7"/>
    <d v="2025-10-20T00:00:00"/>
    <n v="1"/>
    <n v="2025"/>
    <s v="Standard"/>
    <s v="Active"/>
    <s v="Md. Ripon Ali"/>
    <x v="0"/>
  </r>
  <r>
    <s v="RT-49"/>
    <x v="45"/>
    <x v="4"/>
    <d v="2025-10-08T00:00:00"/>
    <n v="1"/>
    <n v="2025"/>
    <s v="Standard"/>
    <s v="Active"/>
    <s v="Md. Ripon Ali"/>
    <x v="0"/>
  </r>
  <r>
    <s v="RT-49"/>
    <x v="45"/>
    <x v="7"/>
    <d v="2025-10-20T00:00:00"/>
    <n v="1"/>
    <n v="2025"/>
    <s v="Standard"/>
    <s v="Active"/>
    <s v="Md. Ripon Ali"/>
    <x v="0"/>
  </r>
  <r>
    <s v="RT-70"/>
    <x v="66"/>
    <x v="4"/>
    <d v="2025-10-13T00:00:00"/>
    <n v="1"/>
    <n v="2025"/>
    <s v="Standard"/>
    <s v="Active"/>
    <s v="Md. Ripon Ali"/>
    <x v="0"/>
  </r>
  <r>
    <s v="RT-10"/>
    <x v="7"/>
    <x v="4"/>
    <d v="2025-10-08T00:00:00"/>
    <n v="1"/>
    <n v="2025"/>
    <s v="Standard"/>
    <s v="Active"/>
    <s v="Md. Ripon Ali"/>
    <x v="0"/>
  </r>
  <r>
    <s v="RT-10"/>
    <x v="7"/>
    <x v="7"/>
    <d v="2025-10-17T00:00:00"/>
    <n v="1"/>
    <n v="2025"/>
    <s v="Standard"/>
    <s v="Active"/>
    <s v="Md. Ripon Ali"/>
    <x v="0"/>
  </r>
  <r>
    <s v="RT-96"/>
    <x v="89"/>
    <x v="4"/>
    <d v="2025-10-08T00:00:00"/>
    <n v="1"/>
    <n v="2025"/>
    <s v="Standard"/>
    <s v="Active"/>
    <s v="Md. Ripon Ali"/>
    <x v="0"/>
  </r>
  <r>
    <s v="RT-19"/>
    <x v="16"/>
    <x v="4"/>
    <d v="2025-10-07T00:00:00"/>
    <n v="1"/>
    <n v="2025"/>
    <s v="Standard"/>
    <s v="Active"/>
    <s v="Md. Ripon Ali"/>
    <x v="1"/>
  </r>
  <r>
    <s v="RT-19"/>
    <x v="16"/>
    <x v="7"/>
    <d v="2025-10-20T00:00:00"/>
    <n v="1"/>
    <n v="2025"/>
    <s v="Standard"/>
    <s v="Active"/>
    <s v="Md. Ripon Ali"/>
    <x v="1"/>
  </r>
  <r>
    <s v="RT-18"/>
    <x v="15"/>
    <x v="4"/>
    <d v="2025-10-14T00:00:00"/>
    <n v="1"/>
    <n v="2025"/>
    <s v="Standard"/>
    <s v="Active"/>
    <s v="Md. Ripon Ali"/>
    <x v="1"/>
  </r>
  <r>
    <s v="RT-18"/>
    <x v="15"/>
    <x v="7"/>
    <d v="2025-10-20T00:00:00"/>
    <n v="1"/>
    <n v="2025"/>
    <s v="Standard"/>
    <s v="Active"/>
    <s v="Md. Ripon Ali"/>
    <x v="1"/>
  </r>
  <r>
    <s v="RT-16"/>
    <x v="13"/>
    <x v="4"/>
    <d v="2025-10-12T00:00:00"/>
    <n v="1"/>
    <n v="2025"/>
    <s v="Standard"/>
    <s v="Active"/>
    <s v="Md. Ripon Ali"/>
    <x v="1"/>
  </r>
  <r>
    <s v="RT-16"/>
    <x v="13"/>
    <x v="7"/>
    <d v="2025-10-23T00:00:00"/>
    <n v="1"/>
    <n v="2025"/>
    <s v="Standard"/>
    <s v="Active"/>
    <s v="Md. Ripon Ali"/>
    <x v="1"/>
  </r>
  <r>
    <s v="RT-05"/>
    <x v="3"/>
    <x v="4"/>
    <d v="2025-10-07T00:00:00"/>
    <n v="1"/>
    <n v="2025"/>
    <s v="Premium"/>
    <s v="Active"/>
    <s v="Md. Ripon Ali"/>
    <x v="1"/>
  </r>
  <r>
    <s v="RT-05"/>
    <x v="3"/>
    <x v="7"/>
    <d v="2025-10-17T00:00:00"/>
    <n v="1"/>
    <n v="2025"/>
    <s v="Premium"/>
    <s v="Active"/>
    <s v="Md. Ripon Ali"/>
    <x v="1"/>
  </r>
  <r>
    <s v="RT-20"/>
    <x v="17"/>
    <x v="4"/>
    <d v="2025-10-07T00:00:00"/>
    <n v="1"/>
    <n v="2025"/>
    <s v="Standard"/>
    <s v="Active"/>
    <s v="Md. Ripon Ali"/>
    <x v="1"/>
  </r>
  <r>
    <s v="RT-20"/>
    <x v="17"/>
    <x v="7"/>
    <d v="2025-10-20T00:00:00"/>
    <n v="1"/>
    <n v="2025"/>
    <s v="Standard"/>
    <s v="Active"/>
    <s v="Md. Ripon Ali"/>
    <x v="1"/>
  </r>
  <r>
    <s v="RT-65"/>
    <x v="61"/>
    <x v="4"/>
    <d v="2025-10-07T00:00:00"/>
    <n v="1"/>
    <n v="2025"/>
    <s v="Standard"/>
    <s v="Active"/>
    <s v="Md. Ripon Ali"/>
    <x v="1"/>
  </r>
  <r>
    <s v="RT-65"/>
    <x v="61"/>
    <x v="7"/>
    <d v="2025-10-17T00:00:00"/>
    <n v="1"/>
    <n v="2025"/>
    <s v="Standard"/>
    <s v="Active"/>
    <s v="Md. Ripon Ali"/>
    <x v="1"/>
  </r>
  <r>
    <s v="RT-97"/>
    <x v="90"/>
    <x v="4"/>
    <d v="2025-10-13T00:00:00"/>
    <n v="1"/>
    <n v="2025"/>
    <s v="Standard"/>
    <s v="Active"/>
    <s v="Md. Ripon Ali"/>
    <x v="1"/>
  </r>
  <r>
    <s v="RT-97"/>
    <x v="90"/>
    <x v="7"/>
    <d v="2025-10-23T00:00:00"/>
    <n v="1"/>
    <n v="2025"/>
    <s v="Standard"/>
    <s v="Active"/>
    <s v="Md. Ripon Ali"/>
    <x v="1"/>
  </r>
  <r>
    <s v="RT-33"/>
    <x v="29"/>
    <x v="4"/>
    <d v="2025-10-13T00:00:00"/>
    <n v="1"/>
    <n v="2025"/>
    <s v="Standard"/>
    <s v="Active"/>
    <s v="Md. Ripon Ali"/>
    <x v="1"/>
  </r>
  <r>
    <s v="RT-33"/>
    <x v="29"/>
    <x v="7"/>
    <d v="2025-10-20T00:00:00"/>
    <n v="1"/>
    <n v="2025"/>
    <s v="Standard"/>
    <s v="Active"/>
    <s v="Md. Ripon Ali"/>
    <x v="1"/>
  </r>
  <r>
    <s v="RT-29"/>
    <x v="25"/>
    <x v="4"/>
    <d v="2025-10-12T00:00:00"/>
    <n v="1"/>
    <n v="2025"/>
    <s v="Standard"/>
    <s v="Active"/>
    <s v="Md. Ripon Ali"/>
    <x v="1"/>
  </r>
  <r>
    <s v="RT-29"/>
    <x v="25"/>
    <x v="7"/>
    <d v="2025-10-20T00:00:00"/>
    <n v="1"/>
    <n v="2025"/>
    <s v="Standard"/>
    <s v="Active"/>
    <s v="Md. Ripon Ali"/>
    <x v="1"/>
  </r>
  <r>
    <s v="RT-64"/>
    <x v="60"/>
    <x v="4"/>
    <d v="2025-10-09T00:00:00"/>
    <n v="1"/>
    <n v="2025"/>
    <s v="Standard"/>
    <s v="Active"/>
    <s v="Md. Ripon Ali"/>
    <x v="1"/>
  </r>
  <r>
    <s v="RT-64"/>
    <x v="60"/>
    <x v="7"/>
    <d v="2025-10-20T00:00:00"/>
    <n v="1"/>
    <n v="2025"/>
    <s v="Standard"/>
    <s v="Active"/>
    <s v="Md. Ripon Ali"/>
    <x v="1"/>
  </r>
  <r>
    <s v="RT-30"/>
    <x v="26"/>
    <x v="4"/>
    <d v="2025-10-08T00:00:00"/>
    <n v="1"/>
    <n v="2025"/>
    <s v="Standard"/>
    <s v="Active"/>
    <s v="Md. Ripon Ali"/>
    <x v="1"/>
  </r>
  <r>
    <s v="RT-30"/>
    <x v="26"/>
    <x v="7"/>
    <d v="2025-10-20T00:00:00"/>
    <n v="1"/>
    <n v="2025"/>
    <s v="Standard"/>
    <s v="Active"/>
    <s v="Md. Ripon Ali"/>
    <x v="1"/>
  </r>
  <r>
    <s v="RT-39"/>
    <x v="35"/>
    <x v="4"/>
    <d v="2025-10-09T00:00:00"/>
    <n v="1"/>
    <n v="2025"/>
    <s v="Standard"/>
    <s v="Active"/>
    <s v="Md. Ripon Ali"/>
    <x v="2"/>
  </r>
  <r>
    <s v="RT-39"/>
    <x v="35"/>
    <x v="7"/>
    <d v="2025-10-20T00:00:00"/>
    <n v="1"/>
    <n v="2025"/>
    <s v="Standard"/>
    <s v="Active"/>
    <s v="Md. Ripon Ali"/>
    <x v="2"/>
  </r>
  <r>
    <s v="RT-63"/>
    <x v="59"/>
    <x v="4"/>
    <d v="2025-10-09T00:00:00"/>
    <n v="1"/>
    <n v="2025"/>
    <s v="Standard"/>
    <s v="Active"/>
    <s v="Md. Ripon Ali"/>
    <x v="2"/>
  </r>
  <r>
    <s v="RT-63"/>
    <x v="59"/>
    <x v="7"/>
    <d v="2025-10-17T00:00:00"/>
    <n v="1"/>
    <n v="2025"/>
    <s v="Standard"/>
    <s v="Active"/>
    <s v="Md. Ripon Ali"/>
    <x v="2"/>
  </r>
  <r>
    <s v="RT-83"/>
    <x v="77"/>
    <x v="4"/>
    <d v="2025-10-09T00:00:00"/>
    <n v="1"/>
    <n v="2025"/>
    <s v="Standard"/>
    <s v="Active"/>
    <s v="Md. Ripon Ali"/>
    <x v="2"/>
  </r>
  <r>
    <s v="RT-83"/>
    <x v="77"/>
    <x v="7"/>
    <d v="2025-10-20T00:00:00"/>
    <n v="1"/>
    <n v="2025"/>
    <s v="Standard"/>
    <s v="Active"/>
    <s v="Md. Ripon Ali"/>
    <x v="2"/>
  </r>
  <r>
    <s v="RT-46"/>
    <x v="42"/>
    <x v="4"/>
    <d v="2025-10-09T00:00:00"/>
    <n v="1"/>
    <n v="2025"/>
    <s v="Standard"/>
    <s v="Active"/>
    <s v="Md. Ripon Ali"/>
    <x v="1"/>
  </r>
  <r>
    <s v="RT-46"/>
    <x v="42"/>
    <x v="7"/>
    <d v="2025-10-17T00:00:00"/>
    <n v="1"/>
    <n v="2025"/>
    <s v="Standard"/>
    <s v="Active"/>
    <s v="Md. Ripon Ali"/>
    <x v="1"/>
  </r>
  <r>
    <s v="RT-66"/>
    <x v="62"/>
    <x v="4"/>
    <d v="2025-10-09T00:00:00"/>
    <n v="1"/>
    <n v="2025"/>
    <s v="Standard"/>
    <s v="Active"/>
    <s v="Md. Ripon Ali"/>
    <x v="1"/>
  </r>
  <r>
    <s v="RT-66"/>
    <x v="62"/>
    <x v="7"/>
    <d v="2025-10-17T00:00:00"/>
    <n v="1"/>
    <n v="2025"/>
    <s v="Standard"/>
    <s v="Active"/>
    <s v="Md. Ripon Ali"/>
    <x v="1"/>
  </r>
  <r>
    <s v="RT-47"/>
    <x v="43"/>
    <x v="4"/>
    <d v="2025-10-09T00:00:00"/>
    <n v="1"/>
    <n v="2025"/>
    <s v="Standard"/>
    <s v="Active"/>
    <s v="Md. Ripon Ali"/>
    <x v="1"/>
  </r>
  <r>
    <s v="RT-47"/>
    <x v="43"/>
    <x v="7"/>
    <d v="2025-10-17T00:00:00"/>
    <n v="1"/>
    <n v="2025"/>
    <s v="Standard"/>
    <s v="Active"/>
    <s v="Md. Ripon Ali"/>
    <x v="1"/>
  </r>
  <r>
    <s v="RT-81"/>
    <x v="75"/>
    <x v="4"/>
    <d v="2025-10-09T00:00:00"/>
    <n v="1"/>
    <n v="2025"/>
    <s v="Standard"/>
    <s v="Active"/>
    <s v="Md. Ripon Ali"/>
    <x v="1"/>
  </r>
  <r>
    <s v="RT-81"/>
    <x v="75"/>
    <x v="7"/>
    <d v="2025-10-17T00:00:00"/>
    <n v="1"/>
    <n v="2025"/>
    <s v="Standard"/>
    <s v="Active"/>
    <s v="Md. Ripon Ali"/>
    <x v="1"/>
  </r>
  <r>
    <s v="RT-07"/>
    <x v="4"/>
    <x v="4"/>
    <d v="2025-10-07T00:00:00"/>
    <n v="1"/>
    <n v="2025"/>
    <s v="Standard"/>
    <s v="Active"/>
    <s v="Md. Ripon Ali"/>
    <x v="1"/>
  </r>
  <r>
    <s v="RT-07"/>
    <x v="4"/>
    <x v="7"/>
    <d v="2025-10-17T00:00:00"/>
    <n v="1"/>
    <n v="2025"/>
    <s v="Standard"/>
    <s v="Active"/>
    <s v="Md. Ripon Ali"/>
    <x v="1"/>
  </r>
  <r>
    <s v="RT-42"/>
    <x v="38"/>
    <x v="4"/>
    <d v="2025-10-12T00:00:00"/>
    <n v="1"/>
    <n v="2025"/>
    <s v="Standard"/>
    <s v="Active"/>
    <s v="Md. Ripon Ali"/>
    <x v="2"/>
  </r>
  <r>
    <s v="RT-42"/>
    <x v="38"/>
    <x v="7"/>
    <d v="2025-10-20T00:00:00"/>
    <n v="1"/>
    <n v="2025"/>
    <s v="Standard"/>
    <s v="Active"/>
    <s v="Md. Ripon Ali"/>
    <x v="2"/>
  </r>
  <r>
    <s v="RT-98"/>
    <x v="91"/>
    <x v="4"/>
    <d v="2025-10-08T00:00:00"/>
    <n v="1"/>
    <n v="2025"/>
    <s v="Normal"/>
    <s v="Active"/>
    <s v="Md. Ripon Ali"/>
    <x v="0"/>
  </r>
  <r>
    <s v="RT-12"/>
    <x v="9"/>
    <x v="4"/>
    <d v="2025-10-07T00:00:00"/>
    <n v="1"/>
    <n v="2025"/>
    <s v="Premium"/>
    <s v="Active"/>
    <s v="Md. Ripon Ali"/>
    <x v="1"/>
  </r>
  <r>
    <s v="RT-12"/>
    <x v="9"/>
    <x v="7"/>
    <d v="2025-10-17T00:00:00"/>
    <n v="1"/>
    <n v="2025"/>
    <s v="Premium"/>
    <s v="Active"/>
    <s v="Md. Ripon Ali"/>
    <x v="1"/>
  </r>
  <r>
    <s v="RT-82"/>
    <x v="76"/>
    <x v="4"/>
    <d v="2025-10-12T00:00:00"/>
    <n v="1"/>
    <n v="2025"/>
    <s v="Standard"/>
    <s v="Active"/>
    <s v="Md. Ripon Ali"/>
    <x v="2"/>
  </r>
  <r>
    <s v="RT-82"/>
    <x v="76"/>
    <x v="7"/>
    <d v="2025-10-20T00:00:00"/>
    <n v="1"/>
    <n v="2025"/>
    <s v="Standard"/>
    <s v="Active"/>
    <s v="Md. Ripon Ali"/>
    <x v="2"/>
  </r>
  <r>
    <s v="RT-11"/>
    <x v="8"/>
    <x v="4"/>
    <d v="2025-10-07T00:00:00"/>
    <n v="1"/>
    <n v="2025"/>
    <s v="Premium"/>
    <s v="Active"/>
    <s v="Md. Ripon Ali"/>
    <x v="1"/>
  </r>
  <r>
    <s v="RT-11"/>
    <x v="8"/>
    <x v="7"/>
    <d v="2025-10-17T00:00:00"/>
    <n v="1"/>
    <n v="2025"/>
    <s v="Premium"/>
    <s v="Active"/>
    <s v="Md. Ripon Ali"/>
    <x v="1"/>
  </r>
  <r>
    <s v="RT-03"/>
    <x v="1"/>
    <x v="4"/>
    <d v="2025-10-07T00:00:00"/>
    <n v="1"/>
    <n v="2025"/>
    <s v="Premium"/>
    <s v="Active"/>
    <s v="Md. Ripon Ali"/>
    <x v="1"/>
  </r>
  <r>
    <s v="RT-03"/>
    <x v="1"/>
    <x v="7"/>
    <d v="2025-10-17T00:00:00"/>
    <n v="1"/>
    <n v="2025"/>
    <s v="Premium"/>
    <s v="Active"/>
    <s v="Md. Ripon Ali"/>
    <x v="1"/>
  </r>
  <r>
    <s v="RT-08"/>
    <x v="5"/>
    <x v="4"/>
    <d v="2025-10-07T00:00:00"/>
    <n v="1"/>
    <n v="2025"/>
    <s v="Standard"/>
    <s v="Active"/>
    <s v="Md. Ripon Ali"/>
    <x v="1"/>
  </r>
  <r>
    <s v="RT-08"/>
    <x v="5"/>
    <x v="7"/>
    <d v="2025-10-17T00:00:00"/>
    <n v="1"/>
    <n v="2025"/>
    <s v="Standard"/>
    <s v="Active"/>
    <s v="Md. Ripon Ali"/>
    <x v="1"/>
  </r>
  <r>
    <s v="RT-55"/>
    <x v="51"/>
    <x v="4"/>
    <d v="2025-10-08T00:00:00"/>
    <n v="1"/>
    <n v="2025"/>
    <s v="Standard"/>
    <s v="Active"/>
    <s v="Md. Ripon Ali"/>
    <x v="0"/>
  </r>
  <r>
    <s v="RT-60"/>
    <x v="56"/>
    <x v="4"/>
    <d v="2025-10-13T00:00:00"/>
    <n v="1"/>
    <n v="2025"/>
    <s v="Standard"/>
    <s v="Active"/>
    <s v="Md. Ripon Ali"/>
    <x v="0"/>
  </r>
  <r>
    <s v="RT-60"/>
    <x v="56"/>
    <x v="7"/>
    <d v="2025-10-17T00:00:00"/>
    <n v="1"/>
    <n v="2025"/>
    <s v="Standard"/>
    <s v="Active"/>
    <s v="Md. Ripon Ali"/>
    <x v="0"/>
  </r>
  <r>
    <s v="RT-41"/>
    <x v="37"/>
    <x v="4"/>
    <d v="2025-10-08T00:00:00"/>
    <n v="1"/>
    <n v="2025"/>
    <s v="Standard"/>
    <s v="Active"/>
    <s v="Md. Ripon Ali"/>
    <x v="2"/>
  </r>
  <r>
    <s v="RT-41"/>
    <x v="37"/>
    <x v="7"/>
    <d v="2025-10-17T00:00:00"/>
    <n v="1"/>
    <n v="2025"/>
    <s v="Standard"/>
    <s v="Active"/>
    <s v="Md. Ripon Ali"/>
    <x v="2"/>
  </r>
  <r>
    <s v="RT-99"/>
    <x v="92"/>
    <x v="4"/>
    <d v="2025-10-14T00:00:00"/>
    <n v="1"/>
    <n v="2025"/>
    <s v="Standard"/>
    <s v="Active"/>
    <s v="Md. Ripon Ali"/>
    <x v="1"/>
  </r>
  <r>
    <s v="RT-71"/>
    <x v="67"/>
    <x v="4"/>
    <d v="2025-10-08T00:00:00"/>
    <n v="1"/>
    <n v="2025"/>
    <s v="Standard"/>
    <s v="Active"/>
    <s v="Md. Ripon Ali"/>
    <x v="0"/>
  </r>
  <r>
    <s v="RT-53"/>
    <x v="49"/>
    <x v="4"/>
    <d v="2025-10-08T00:00:00"/>
    <n v="1"/>
    <n v="2025"/>
    <s v="Normal"/>
    <s v="Active"/>
    <s v="Md. Ripon Ali"/>
    <x v="0"/>
  </r>
  <r>
    <s v="RT-53"/>
    <x v="49"/>
    <x v="7"/>
    <d v="2025-10-17T00:00:00"/>
    <n v="1"/>
    <n v="2025"/>
    <s v="Normal"/>
    <s v="Active"/>
    <s v="Md. Ripon Ali"/>
    <x v="0"/>
  </r>
  <r>
    <s v="RT-84"/>
    <x v="78"/>
    <x v="4"/>
    <d v="2025-10-09T00:00:00"/>
    <n v="1"/>
    <n v="2025"/>
    <s v="Standard"/>
    <s v="Active"/>
    <s v="Md. Ripon Ali"/>
    <x v="2"/>
  </r>
  <r>
    <s v="RT-84"/>
    <x v="78"/>
    <x v="7"/>
    <d v="2025-10-20T00:00:00"/>
    <n v="1"/>
    <n v="2025"/>
    <s v="Standard"/>
    <s v="Active"/>
    <s v="Md. Ripon Ali"/>
    <x v="2"/>
  </r>
  <r>
    <s v="RT-51"/>
    <x v="47"/>
    <x v="4"/>
    <d v="2025-10-08T00:00:00"/>
    <n v="1"/>
    <n v="2025"/>
    <s v="Premium"/>
    <s v="Active"/>
    <s v="Md. Ripon Ali"/>
    <x v="0"/>
  </r>
  <r>
    <s v="RT-51"/>
    <x v="47"/>
    <x v="7"/>
    <d v="2025-10-17T00:00:00"/>
    <n v="1"/>
    <n v="2025"/>
    <s v="Premium"/>
    <s v="Active"/>
    <s v="Md. Ripon Ali"/>
    <x v="0"/>
  </r>
  <r>
    <s v="RT-45"/>
    <x v="41"/>
    <x v="4"/>
    <d v="2025-10-09T00:00:00"/>
    <n v="1"/>
    <n v="2025"/>
    <s v="Standard"/>
    <s v="Active"/>
    <s v="Md. Ripon Ali"/>
    <x v="1"/>
  </r>
  <r>
    <s v="RT-45"/>
    <x v="41"/>
    <x v="7"/>
    <d v="2025-10-17T00:00:00"/>
    <n v="1"/>
    <n v="2025"/>
    <s v="Standard"/>
    <s v="Active"/>
    <s v="Md. Ripon Ali"/>
    <x v="1"/>
  </r>
  <r>
    <s v="RT-90"/>
    <x v="84"/>
    <x v="4"/>
    <d v="2025-10-08T00:00:00"/>
    <n v="1"/>
    <n v="2025"/>
    <s v="Standard"/>
    <s v="Active"/>
    <s v="Md. Ripon Ali"/>
    <x v="2"/>
  </r>
  <r>
    <s v="RT-36"/>
    <x v="32"/>
    <x v="4"/>
    <d v="2025-10-08T00:00:00"/>
    <n v="1"/>
    <n v="2025"/>
    <s v="Premium"/>
    <s v="Active"/>
    <s v="Md. Ripon Ali"/>
    <x v="2"/>
  </r>
  <r>
    <s v="RT-36"/>
    <x v="32"/>
    <x v="7"/>
    <d v="2025-10-17T00:00:00"/>
    <n v="1"/>
    <n v="2025"/>
    <s v="Premium"/>
    <s v="Active"/>
    <s v="Md. Ripon Ali"/>
    <x v="2"/>
  </r>
  <r>
    <s v="RT-21"/>
    <x v="18"/>
    <x v="4"/>
    <d v="2025-10-07T00:00:00"/>
    <n v="1"/>
    <n v="2025"/>
    <s v="Standard"/>
    <s v="Active"/>
    <s v="Md. Ripon Ali"/>
    <x v="1"/>
  </r>
  <r>
    <s v="RT-21"/>
    <x v="18"/>
    <x v="7"/>
    <d v="2025-10-20T00:00:00"/>
    <n v="1"/>
    <n v="2025"/>
    <s v="Standard"/>
    <s v="Active"/>
    <s v="Md. Ripon Ali"/>
    <x v="1"/>
  </r>
  <r>
    <s v="RT-10"/>
    <x v="7"/>
    <x v="4"/>
    <d v="2025-10-07T00:00:00"/>
    <n v="1"/>
    <n v="2025"/>
    <s v="Standard"/>
    <s v="Active"/>
    <s v="Md. Ripon Ali"/>
    <x v="1"/>
  </r>
  <r>
    <s v="RT-10"/>
    <x v="7"/>
    <x v="7"/>
    <d v="2025-10-17T00:00:00"/>
    <n v="1"/>
    <n v="2025"/>
    <s v="Standard"/>
    <s v="Active"/>
    <s v="Md. Ripon Ali"/>
    <x v="1"/>
  </r>
  <r>
    <s v="RT-100"/>
    <x v="93"/>
    <x v="4"/>
    <d v="2025-10-08T00:00:00"/>
    <n v="1"/>
    <n v="2025"/>
    <s v="Standard"/>
    <s v="Active"/>
    <s v="Md. Ripon Ali"/>
    <x v="1"/>
  </r>
  <r>
    <s v="RT-100"/>
    <x v="93"/>
    <x v="7"/>
    <d v="2025-10-17T00:00:00"/>
    <n v="1"/>
    <n v="2025"/>
    <s v="Standard"/>
    <s v="Active"/>
    <s v="Md. Ripon Ali"/>
    <x v="1"/>
  </r>
  <r>
    <s v="RT-85"/>
    <x v="79"/>
    <x v="4"/>
    <d v="2025-10-09T00:00:00"/>
    <n v="1"/>
    <n v="2025"/>
    <s v="Standard"/>
    <s v="Active"/>
    <s v="Md. Ripon Ali"/>
    <x v="2"/>
  </r>
  <r>
    <s v="RT-85"/>
    <x v="79"/>
    <x v="7"/>
    <d v="2025-10-20T00:00:00"/>
    <n v="1"/>
    <n v="2025"/>
    <s v="Standard"/>
    <s v="Active"/>
    <s v="Md. Ripon Ali"/>
    <x v="2"/>
  </r>
  <r>
    <s v="RT-09"/>
    <x v="6"/>
    <x v="4"/>
    <d v="2025-10-07T00:00:00"/>
    <n v="1"/>
    <n v="2025"/>
    <s v="Standard"/>
    <s v="Active"/>
    <s v="Md. Ripon Ali"/>
    <x v="1"/>
  </r>
  <r>
    <s v="RT-09"/>
    <x v="6"/>
    <x v="7"/>
    <d v="2025-10-17T00:00:00"/>
    <n v="1"/>
    <n v="2025"/>
    <s v="Standard"/>
    <s v="Active"/>
    <s v="Md. Ripon Ali"/>
    <x v="1"/>
  </r>
  <r>
    <s v="RT-17"/>
    <x v="14"/>
    <x v="4"/>
    <d v="2025-10-08T00:00:00"/>
    <n v="1"/>
    <n v="2025"/>
    <s v="Standard"/>
    <s v="Active"/>
    <s v="Md. Ripon Ali"/>
    <x v="1"/>
  </r>
  <r>
    <s v="RT-17"/>
    <x v="14"/>
    <x v="7"/>
    <d v="2025-10-17T00:00:00"/>
    <n v="1"/>
    <n v="2025"/>
    <s v="Standard"/>
    <s v="Active"/>
    <s v="Md. Ripon Ali"/>
    <x v="1"/>
  </r>
  <r>
    <s v="RT-31"/>
    <x v="27"/>
    <x v="4"/>
    <d v="2025-10-08T00:00:00"/>
    <n v="1"/>
    <n v="2025"/>
    <s v="Standard"/>
    <s v="Active"/>
    <s v="Md. Ripon Ali"/>
    <x v="1"/>
  </r>
  <r>
    <s v="RT-31"/>
    <x v="27"/>
    <x v="7"/>
    <d v="2025-10-20T00:00:00"/>
    <n v="1"/>
    <n v="2025"/>
    <s v="Standard"/>
    <s v="Active"/>
    <s v="Md. Ripon Ali"/>
    <x v="1"/>
  </r>
  <r>
    <s v="RT-44"/>
    <x v="40"/>
    <x v="4"/>
    <d v="2025-10-09T00:00:00"/>
    <n v="1"/>
    <n v="2025"/>
    <s v="Standard"/>
    <s v="Active"/>
    <s v="Md. Ripon Ali"/>
    <x v="1"/>
  </r>
  <r>
    <s v="RT-44"/>
    <x v="40"/>
    <x v="7"/>
    <d v="2025-10-17T00:00:00"/>
    <n v="1"/>
    <n v="2025"/>
    <s v="Standard"/>
    <s v="Active"/>
    <s v="Md. Ripon Ali"/>
    <x v="1"/>
  </r>
  <r>
    <s v="RT-14"/>
    <x v="11"/>
    <x v="4"/>
    <d v="2025-10-07T00:00:00"/>
    <n v="1"/>
    <n v="2025"/>
    <s v="Standard"/>
    <s v="Active"/>
    <s v="Md. Ripon Ali"/>
    <x v="1"/>
  </r>
  <r>
    <s v="RT-14"/>
    <x v="11"/>
    <x v="7"/>
    <d v="2025-10-17T00:00:00"/>
    <n v="1"/>
    <n v="2025"/>
    <s v="Standard"/>
    <s v="Active"/>
    <s v="Md. Ripon Ali"/>
    <x v="1"/>
  </r>
  <r>
    <s v="RT-101"/>
    <x v="94"/>
    <x v="4"/>
    <d v="2025-10-07T00:00:00"/>
    <n v="1"/>
    <n v="2025"/>
    <s v="Standard"/>
    <s v="Active"/>
    <s v="Md. Ripon Ali"/>
    <x v="1"/>
  </r>
  <r>
    <s v="RT-101"/>
    <x v="94"/>
    <x v="7"/>
    <d v="2025-10-17T00:00:00"/>
    <n v="1"/>
    <n v="2025"/>
    <s v="Standard"/>
    <s v="Active"/>
    <s v="Md. Ripon Ali"/>
    <x v="1"/>
  </r>
  <r>
    <s v="RT-102"/>
    <x v="95"/>
    <x v="4"/>
    <d v="2025-10-08T00:00:00"/>
    <n v="1"/>
    <n v="2025"/>
    <s v="Standard"/>
    <s v="Active"/>
    <s v="Md. Ripon Ali"/>
    <x v="0"/>
  </r>
  <r>
    <s v="RT-102"/>
    <x v="95"/>
    <x v="7"/>
    <d v="2025-10-20T00:00:00"/>
    <n v="1"/>
    <n v="2025"/>
    <s v="Standard"/>
    <s v="Active"/>
    <s v="Md. Ripon Ali"/>
    <x v="0"/>
  </r>
  <r>
    <s v="RT-75"/>
    <x v="71"/>
    <x v="4"/>
    <d v="2025-10-08T00:00:00"/>
    <n v="1"/>
    <n v="2025"/>
    <s v="Standard"/>
    <s v="Active"/>
    <s v="Md. Ripon Ali"/>
    <x v="0"/>
  </r>
  <r>
    <s v="RT-13"/>
    <x v="10"/>
    <x v="4"/>
    <d v="2025-10-07T00:00:00"/>
    <n v="1"/>
    <n v="2025"/>
    <s v="Standard"/>
    <s v="Active"/>
    <s v="Md. Ripon Ali"/>
    <x v="1"/>
  </r>
  <r>
    <s v="RT-13"/>
    <x v="10"/>
    <x v="7"/>
    <d v="2025-10-17T00:00:00"/>
    <n v="1"/>
    <n v="2025"/>
    <s v="Standard"/>
    <s v="Active"/>
    <s v="Md. Ripon Ali"/>
    <x v="1"/>
  </r>
  <r>
    <s v="RT-103"/>
    <x v="96"/>
    <x v="4"/>
    <d v="2025-10-17T00:00:00"/>
    <n v="1"/>
    <n v="2025"/>
    <s v="Standard"/>
    <s v="Active"/>
    <s v="Md. Ripon Ali"/>
    <x v="1"/>
  </r>
  <r>
    <s v="RT-103"/>
    <x v="96"/>
    <x v="7"/>
    <d v="2025-10-24T00:00:00"/>
    <n v="1"/>
    <n v="2025"/>
    <s v="Standard"/>
    <s v="Active"/>
    <s v="Md. Ripon Ali"/>
    <x v="1"/>
  </r>
  <r>
    <s v="RT-74"/>
    <x v="70"/>
    <x v="4"/>
    <d v="2025-10-07T00:00:00"/>
    <n v="1"/>
    <n v="2025"/>
    <s v="Standard"/>
    <s v="Active"/>
    <s v="Md. Ripon Ali"/>
    <x v="1"/>
  </r>
  <r>
    <s v="RT-104"/>
    <x v="97"/>
    <x v="7"/>
    <d v="2025-10-23T00:00:00"/>
    <n v="1"/>
    <n v="2025"/>
    <s v="Standard"/>
    <s v="Active"/>
    <s v="Md. Ripon Ali"/>
    <x v="1"/>
  </r>
  <r>
    <s v="RT-51"/>
    <x v="47"/>
    <x v="8"/>
    <d v="2025-10-29T00:00:00"/>
    <n v="1"/>
    <n v="2025"/>
    <s v="Premium"/>
    <s v="Active"/>
    <s v="Md. Ripon Ali"/>
    <x v="0"/>
  </r>
  <r>
    <s v="RT-71"/>
    <x v="67"/>
    <x v="7"/>
    <d v="2025-10-30T00:00:00"/>
    <n v="1"/>
    <n v="2025"/>
    <s v="Standard"/>
    <s v="Active"/>
    <s v="Md. Ripon Ali"/>
    <x v="0"/>
  </r>
  <r>
    <s v="RT-57"/>
    <x v="53"/>
    <x v="4"/>
    <d v="2025-10-16T00:00:00"/>
    <n v="1"/>
    <n v="2025"/>
    <s v="Standard"/>
    <s v="Active"/>
    <s v="Md. Ripon Ali"/>
    <x v="0"/>
  </r>
  <r>
    <s v="RT-57"/>
    <x v="53"/>
    <x v="7"/>
    <d v="2025-12-31T00:00:00"/>
    <n v="1"/>
    <n v="2025"/>
    <s v="Standard"/>
    <s v="Active"/>
    <s v="Md. Ripon Ali"/>
    <x v="0"/>
  </r>
  <r>
    <s v="RT-78"/>
    <x v="72"/>
    <x v="2"/>
    <d v="2025-12-28T00:00:00"/>
    <n v="1"/>
    <n v="2025"/>
    <s v="Normal"/>
    <s v="Active"/>
    <s v="Md. Ripon Ali"/>
    <x v="2"/>
  </r>
  <r>
    <s v="RT-10"/>
    <x v="7"/>
    <x v="2"/>
    <d v="2025-12-28T00:00:00"/>
    <n v="1"/>
    <n v="2025"/>
    <s v="Standard"/>
    <s v="Active"/>
    <s v="Md. Ripon Ali"/>
    <x v="0"/>
  </r>
  <r>
    <s v="RT-105"/>
    <x v="98"/>
    <x v="2"/>
    <d v="2025-12-28T00:00:00"/>
    <n v="1"/>
    <n v="2025"/>
    <s v="Normal"/>
    <s v="Active"/>
    <s v="Md. Ripon Ali"/>
    <x v="0"/>
  </r>
  <r>
    <s v="RT-106"/>
    <x v="99"/>
    <x v="4"/>
    <d v="2025-12-28T00:00:00"/>
    <n v="1"/>
    <n v="2025"/>
    <s v="Premium"/>
    <s v="Active"/>
    <s v="Md. Ripon Ali"/>
    <x v="0"/>
  </r>
  <r>
    <s v="RT-106"/>
    <x v="99"/>
    <x v="7"/>
    <d v="2025-12-28T00:00:00"/>
    <n v="1"/>
    <n v="2025"/>
    <s v="Premium"/>
    <s v="Active"/>
    <s v="Md. Ripon Ali"/>
    <x v="0"/>
  </r>
  <r>
    <s v="RT-106"/>
    <x v="99"/>
    <x v="3"/>
    <d v="2025-12-28T00:00:00"/>
    <n v="1"/>
    <n v="2025"/>
    <s v="Premium"/>
    <s v="Active"/>
    <s v="Md. Ripon Ali"/>
    <x v="0"/>
  </r>
  <r>
    <s v="RT-106"/>
    <x v="99"/>
    <x v="5"/>
    <d v="2025-12-28T00:00:00"/>
    <n v="1"/>
    <n v="2025"/>
    <s v="Premium"/>
    <s v="Active"/>
    <s v="Md. Ripon Ali"/>
    <x v="0"/>
  </r>
  <r>
    <s v="RT-47"/>
    <x v="43"/>
    <x v="6"/>
    <d v="2025-12-28T00:00:00"/>
    <n v="1"/>
    <n v="2025"/>
    <s v="Standard"/>
    <s v="Active"/>
    <s v="Md. Ripon Ali"/>
    <x v="1"/>
  </r>
  <r>
    <s v="RT-12"/>
    <x v="9"/>
    <x v="6"/>
    <d v="2025-12-28T00:00:00"/>
    <n v="1"/>
    <n v="2025"/>
    <s v="Premium"/>
    <s v="Active"/>
    <s v="Md. Ripon Ali"/>
    <x v="1"/>
  </r>
  <r>
    <s v="RT-106"/>
    <x v="99"/>
    <x v="6"/>
    <d v="2025-12-28T00:00:00"/>
    <n v="1"/>
    <n v="2025"/>
    <s v="Premium"/>
    <s v="Active"/>
    <s v="Md. Ripon Ali"/>
    <x v="0"/>
  </r>
  <r>
    <s v="RT-96"/>
    <x v="89"/>
    <x v="2"/>
    <d v="2025-06-26T00:00:00"/>
    <n v="1"/>
    <n v="2025"/>
    <s v="Standard"/>
    <s v="Active"/>
    <s v="Md. Ripon Ali"/>
    <x v="0"/>
  </r>
  <r>
    <s v="RT-107"/>
    <x v="100"/>
    <x v="0"/>
    <d v="2025-03-20T00:00:00"/>
    <n v="1"/>
    <n v="2025"/>
    <s v="Standard"/>
    <s v="Active"/>
    <s v="Md. Ripon Ali"/>
    <x v="1"/>
  </r>
  <r>
    <s v="RT-68"/>
    <x v="64"/>
    <x v="0"/>
    <d v="2025-03-20T00:00:00"/>
    <n v="1"/>
    <n v="2025"/>
    <s v="Standard"/>
    <s v="Active"/>
    <s v="Md. Ripon Ali"/>
    <x v="2"/>
  </r>
  <r>
    <s v="RT-108"/>
    <x v="101"/>
    <x v="4"/>
    <d v="2025-12-31T00:00:00"/>
    <n v="1"/>
    <n v="2025"/>
    <s v="Standard"/>
    <s v="Active"/>
    <s v="Md. Ripon Ali"/>
    <x v="1"/>
  </r>
  <r>
    <s v="RT-109"/>
    <x v="102"/>
    <x v="7"/>
    <d v="2025-12-31T00:00:00"/>
    <n v="1"/>
    <n v="2025"/>
    <s v="Standard"/>
    <s v="Active"/>
    <s v="Md. Ripon Ali"/>
    <x v="1"/>
  </r>
  <r>
    <s v="RT-109"/>
    <x v="102"/>
    <x v="2"/>
    <d v="2025-12-01T00:00:00"/>
    <n v="1"/>
    <n v="2025"/>
    <s v="Standard"/>
    <s v="Active"/>
    <s v="Md. Ripon Ali"/>
    <x v="1"/>
  </r>
  <r>
    <s v="RT-110"/>
    <x v="103"/>
    <x v="0"/>
    <d v="2025-08-27T00:00:00"/>
    <n v="1"/>
    <n v="2025"/>
    <s v="Standard"/>
    <s v="Active"/>
    <s v="Md. Ripon Ali"/>
    <x v="0"/>
  </r>
  <r>
    <s v="RT-110"/>
    <x v="103"/>
    <x v="2"/>
    <d v="2025-08-27T00:00:00"/>
    <n v="1"/>
    <n v="2025"/>
    <s v="Standard"/>
    <s v="Active"/>
    <s v="Md. Ripon Ali"/>
    <x v="0"/>
  </r>
  <r>
    <s v="RT-15"/>
    <x v="12"/>
    <x v="5"/>
    <d v="2025-08-23T00:00:00"/>
    <n v="1"/>
    <n v="2025"/>
    <s v="Premium"/>
    <s v="Active"/>
    <s v="Md. Ripon Ali"/>
    <x v="1"/>
  </r>
  <r>
    <s v="RT-111"/>
    <x v="104"/>
    <x v="0"/>
    <d v="2025-08-27T00:00:00"/>
    <n v="1"/>
    <n v="2025"/>
    <s v="Standard"/>
    <s v="Active"/>
    <s v="Md. Ripon Ali"/>
    <x v="2"/>
  </r>
  <r>
    <s v="RT-04"/>
    <x v="2"/>
    <x v="9"/>
    <d v="2026-03-28T00:00:00"/>
    <n v="1"/>
    <n v="2026"/>
    <s v="Premium"/>
    <s v="Active"/>
    <s v="Md. Ripon Ali"/>
    <x v="2"/>
  </r>
  <r>
    <s v="RT-51"/>
    <x v="47"/>
    <x v="9"/>
    <d v="2026-03-28T00:00:00"/>
    <n v="1"/>
    <n v="2026"/>
    <s v="Premium"/>
    <s v="Active"/>
    <s v="Md. Ripon Ali"/>
    <x v="0"/>
  </r>
  <r>
    <s v="RT-03"/>
    <x v="1"/>
    <x v="9"/>
    <d v="2026-03-28T00:00:00"/>
    <n v="1"/>
    <n v="2026"/>
    <s v="Premium"/>
    <s v="Active"/>
    <s v="Md. Ripon Ali"/>
    <x v="1"/>
  </r>
  <r>
    <s v="RT-80"/>
    <x v="74"/>
    <x v="9"/>
    <d v="2026-03-28T00:00:00"/>
    <n v="1"/>
    <n v="2026"/>
    <s v="Premium"/>
    <s v="Active"/>
    <s v="Md. Ripon Ali"/>
    <x v="0"/>
  </r>
  <r>
    <s v="RT-04"/>
    <x v="2"/>
    <x v="10"/>
    <d v="2026-04-29T00:00:00"/>
    <n v="1"/>
    <n v="2026"/>
    <s v="Premium"/>
    <s v="Active"/>
    <s v="Md. Ripon Ali"/>
    <x v="2"/>
  </r>
  <r>
    <s v="RT-27"/>
    <x v="24"/>
    <x v="10"/>
    <d v="2026-04-29T00:00:00"/>
    <n v="1"/>
    <n v="2026"/>
    <s v="Premium"/>
    <s v="Active"/>
    <s v="Md. Ripon Ali"/>
    <x v="1"/>
  </r>
  <r>
    <s v="RT-35"/>
    <x v="31"/>
    <x v="10"/>
    <d v="2026-04-29T00:00:00"/>
    <n v="1"/>
    <n v="2026"/>
    <s v="Premium"/>
    <s v="Active"/>
    <s v="Md. Ripon Ali"/>
    <x v="2"/>
  </r>
  <r>
    <s v="RT-51"/>
    <x v="47"/>
    <x v="10"/>
    <d v="2026-04-29T00:00:00"/>
    <n v="1"/>
    <n v="2026"/>
    <s v="Premium"/>
    <s v="Active"/>
    <s v="Md. Ripon Ali"/>
    <x v="0"/>
  </r>
  <r>
    <s v="RT-44"/>
    <x v="40"/>
    <x v="10"/>
    <d v="2026-04-29T00:00:00"/>
    <n v="1"/>
    <n v="2026"/>
    <s v="Standard"/>
    <s v="Active"/>
    <s v="Md. Ripon Ali"/>
    <x v="1"/>
  </r>
  <r>
    <s v="RT-58"/>
    <x v="54"/>
    <x v="10"/>
    <d v="2026-04-29T00:00:00"/>
    <n v="1"/>
    <n v="2026"/>
    <s v="Premium"/>
    <s v="Active"/>
    <s v="Md. Ripon Ali"/>
    <x v="0"/>
  </r>
  <r>
    <s v="RT-03"/>
    <x v="1"/>
    <x v="10"/>
    <d v="2026-04-29T00:00:00"/>
    <n v="1"/>
    <n v="2026"/>
    <s v="Premium"/>
    <s v="Active"/>
    <s v="Md. Ripon Ali"/>
    <x v="1"/>
  </r>
  <r>
    <s v="RT-11"/>
    <x v="8"/>
    <x v="10"/>
    <d v="2026-04-29T00:00:00"/>
    <n v="1"/>
    <n v="2026"/>
    <s v="Premium"/>
    <s v="Active"/>
    <s v="Md. Ripon Ali"/>
    <x v="1"/>
  </r>
  <r>
    <s v="RT-80"/>
    <x v="74"/>
    <x v="10"/>
    <d v="2026-04-29T00:00:00"/>
    <n v="1"/>
    <n v="2026"/>
    <s v="Premium"/>
    <s v="Active"/>
    <s v="Md. Ripon Ali"/>
    <x v="0"/>
  </r>
  <r>
    <s v="RT-106"/>
    <x v="99"/>
    <x v="10"/>
    <d v="2026-04-29T00:00:00"/>
    <n v="1"/>
    <n v="2026"/>
    <s v="Premium"/>
    <s v="Active"/>
    <s v="Md. Ripon Ali"/>
    <x v="0"/>
  </r>
  <r>
    <s v="RT-03"/>
    <x v="1"/>
    <x v="11"/>
    <d v="2026-05-13T00:00:00"/>
    <n v="1"/>
    <n v="2026"/>
    <s v="Premium"/>
    <s v="Active"/>
    <s v="Md. Ripon Ali"/>
    <x v="1"/>
  </r>
  <r>
    <s v="RT-112"/>
    <x v="105"/>
    <x v="11"/>
    <d v="2026-05-13T00:00:00"/>
    <n v="1"/>
    <n v="2026"/>
    <s v="Premium"/>
    <s v="Active"/>
    <s v="Md. Ripon Ali"/>
    <x v="0"/>
  </r>
  <r>
    <s v="RT-58"/>
    <x v="54"/>
    <x v="11"/>
    <d v="2026-05-13T00:00:00"/>
    <n v="1"/>
    <n v="2026"/>
    <s v="Premium"/>
    <s v="Active"/>
    <s v="Md. Ripon Ali"/>
    <x v="0"/>
  </r>
  <r>
    <s v="RT-106"/>
    <x v="99"/>
    <x v="11"/>
    <d v="2026-05-13T00:00:00"/>
    <n v="1"/>
    <n v="2026"/>
    <s v="Premium"/>
    <s v="Active"/>
    <s v="Md. Ripon Ali"/>
    <x v="0"/>
  </r>
  <r>
    <s v="RT-113"/>
    <x v="106"/>
    <x v="11"/>
    <d v="2026-05-13T00:00:00"/>
    <n v="1"/>
    <n v="2026"/>
    <s v="Standard"/>
    <s v="Active"/>
    <s v="Md. Ripon Ali"/>
    <x v="1"/>
  </r>
  <r>
    <s v="RT-45"/>
    <x v="41"/>
    <x v="11"/>
    <d v="2026-05-13T00:00:00"/>
    <n v="1"/>
    <n v="2026"/>
    <s v="Standard"/>
    <s v="Active"/>
    <s v="Md. Ripon Ali"/>
    <x v="1"/>
  </r>
  <r>
    <s v="RT-03"/>
    <x v="1"/>
    <x v="12"/>
    <d v="2026-05-13T00:00:00"/>
    <n v="1"/>
    <n v="2026"/>
    <s v="Premium"/>
    <s v="Active"/>
    <s v="Md. Ripon Ali"/>
    <x v="1"/>
  </r>
  <r>
    <s v="RT-112"/>
    <x v="105"/>
    <x v="12"/>
    <d v="2026-05-13T00:00:00"/>
    <n v="1"/>
    <n v="2026"/>
    <s v="Premium"/>
    <s v="Active"/>
    <s v="Md. Ripon Ali"/>
    <x v="0"/>
  </r>
  <r>
    <s v="RT-58"/>
    <x v="54"/>
    <x v="12"/>
    <d v="2026-05-13T00:00:00"/>
    <n v="1"/>
    <n v="2026"/>
    <s v="Premium"/>
    <s v="Active"/>
    <s v="Md. Ripon Ali"/>
    <x v="0"/>
  </r>
  <r>
    <s v="RT-106"/>
    <x v="99"/>
    <x v="12"/>
    <d v="2026-05-13T00:00:00"/>
    <n v="1"/>
    <n v="2026"/>
    <s v="Premium"/>
    <s v="Active"/>
    <s v="Md. Ripon Ali"/>
    <x v="0"/>
  </r>
  <r>
    <s v="RT-51"/>
    <x v="47"/>
    <x v="13"/>
    <d v="2026-05-13T00:00:00"/>
    <n v="1"/>
    <n v="2026"/>
    <s v="Premium"/>
    <s v="Active"/>
    <s v="Md. Ripon Ali"/>
    <x v="0"/>
  </r>
  <r>
    <s v="RT-112"/>
    <x v="105"/>
    <x v="13"/>
    <d v="2026-05-13T00:00:00"/>
    <n v="1"/>
    <n v="2026"/>
    <s v="Premium"/>
    <s v="Active"/>
    <s v="Md. Ripon Ali"/>
    <x v="0"/>
  </r>
  <r>
    <s v="RT-52"/>
    <x v="48"/>
    <x v="12"/>
    <d v="2026-05-14T00:00:00"/>
    <n v="1"/>
    <n v="2026"/>
    <s v="Premium"/>
    <s v="Active"/>
    <s v="Md. Ripon Ali"/>
    <x v="0"/>
  </r>
  <r>
    <s v="RT-04"/>
    <x v="2"/>
    <x v="12"/>
    <d v="2026-05-14T00:00:00"/>
    <n v="1"/>
    <n v="2026"/>
    <s v="Premium"/>
    <s v="Active"/>
    <s v="Md. Ripon Ali"/>
    <x v="2"/>
  </r>
  <r>
    <s v="RT-51"/>
    <x v="47"/>
    <x v="11"/>
    <d v="2026-05-14T00:00:00"/>
    <n v="1"/>
    <n v="2026"/>
    <s v="Premium"/>
    <s v="Active"/>
    <s v="Md. Ripon Ali"/>
    <x v="0"/>
  </r>
  <r>
    <s v="RT-04"/>
    <x v="2"/>
    <x v="11"/>
    <d v="2026-05-14T00:00:00"/>
    <n v="1"/>
    <n v="2026"/>
    <s v="Premium"/>
    <s v="Active"/>
    <s v="Md. Ripon Ali"/>
    <x v="2"/>
  </r>
  <r>
    <s v="RT-27"/>
    <x v="24"/>
    <x v="11"/>
    <d v="2026-05-17T00:00:00"/>
    <n v="1"/>
    <n v="2026"/>
    <s v="Premium"/>
    <s v="Active"/>
    <s v="Md. Ripon Ali"/>
    <x v="1"/>
  </r>
  <r>
    <s v="RT-46"/>
    <x v="42"/>
    <x v="12"/>
    <d v="2026-05-16T00:00:00"/>
    <n v="1"/>
    <n v="2026"/>
    <s v="Standard"/>
    <s v="Active"/>
    <s v="Md. Ripon Ali"/>
    <x v="1"/>
  </r>
  <r>
    <s v="RT-27"/>
    <x v="24"/>
    <x v="13"/>
    <d v="2026-05-17T00:00:00"/>
    <n v="1"/>
    <n v="2026"/>
    <s v="Premium"/>
    <s v="Active"/>
    <s v="Md. Ripon Ali"/>
    <x v="1"/>
  </r>
  <r>
    <s v="RT-36"/>
    <x v="32"/>
    <x v="13"/>
    <d v="2026-05-20T00:00:00"/>
    <n v="1"/>
    <n v="2026"/>
    <s v="Premium"/>
    <s v="Active"/>
    <s v="Md. Ripon Ali"/>
    <x v="2"/>
  </r>
  <r>
    <s v="RT-10"/>
    <x v="7"/>
    <x v="13"/>
    <d v="2026-05-20T00:00:00"/>
    <n v="1"/>
    <n v="2026"/>
    <s v="Standard"/>
    <s v="Active"/>
    <s v="Md. Ripon Ali"/>
    <x v="0"/>
  </r>
  <r>
    <s v="RT-55"/>
    <x v="51"/>
    <x v="13"/>
    <d v="2026-05-20T00:00:00"/>
    <n v="1"/>
    <n v="2026"/>
    <s v="Standard"/>
    <s v="Active"/>
    <s v="Md. Ripon Ali"/>
    <x v="0"/>
  </r>
  <r>
    <s v="RT-114"/>
    <x v="107"/>
    <x v="13"/>
    <d v="2026-05-20T00:00:00"/>
    <n v="1"/>
    <n v="2026"/>
    <s v="Standard"/>
    <s v="Active"/>
    <s v="Md. Ripon Ali"/>
    <x v="1"/>
  </r>
  <r>
    <s v="RT-03"/>
    <x v="1"/>
    <x v="13"/>
    <d v="2026-05-21T00:00:00"/>
    <n v="1"/>
    <n v="2026"/>
    <s v="Premium"/>
    <s v="Active"/>
    <s v="Md. Ripon Ali"/>
    <x v="1"/>
  </r>
  <r>
    <s v="RT-34"/>
    <x v="30"/>
    <x v="13"/>
    <d v="2026-05-21T00:00:00"/>
    <n v="1"/>
    <n v="2026"/>
    <s v="Standard"/>
    <s v="Active"/>
    <s v="Md. Ripon Ali"/>
    <x v="1"/>
  </r>
  <r>
    <s v="RT-07"/>
    <x v="4"/>
    <x v="13"/>
    <d v="2026-05-19T00:00:00"/>
    <n v="1"/>
    <n v="2026"/>
    <s v="Standard"/>
    <s v="Active"/>
    <s v="Md. Ripon Ali"/>
    <x v="1"/>
  </r>
  <r>
    <s v="RT-58"/>
    <x v="54"/>
    <x v="13"/>
    <d v="2026-05-23T00:00:00"/>
    <n v="1"/>
    <n v="2026"/>
    <s v="Premium"/>
    <s v="Active"/>
    <s v="Md. Ripon Ali"/>
    <x v="0"/>
  </r>
  <r>
    <s v="RT-106"/>
    <x v="99"/>
    <x v="13"/>
    <d v="2026-05-23T00:00:00"/>
    <n v="1"/>
    <n v="2026"/>
    <s v="Premium"/>
    <s v="Active"/>
    <s v="Md. Ripon Ali"/>
    <x v="0"/>
  </r>
  <r>
    <s v="RT-115"/>
    <x v="108"/>
    <x v="13"/>
    <d v="2026-05-25T00:00:00"/>
    <n v="1"/>
    <n v="2026"/>
    <s v="Standard"/>
    <s v="Active"/>
    <s v="Md. Ripon Ali"/>
    <x v="2"/>
  </r>
  <r>
    <s v="RT-23"/>
    <x v="20"/>
    <x v="13"/>
    <d v="2026-05-25T00:00:00"/>
    <n v="1"/>
    <n v="2026"/>
    <s v="Standard"/>
    <s v="Active"/>
    <s v="Md. Ripon Ali"/>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C7824B-5D70-491F-93DA-02741CD13025}" name="PivotTable1" cacheId="0" applyNumberFormats="0" applyBorderFormats="0" applyFontFormats="0" applyPatternFormats="0" applyAlignmentFormats="0" applyWidthHeightFormats="1" dataCaption="Values" updatedVersion="8" minRefreshableVersion="3" showDrill="0" colGrandTotals="0" itemPrintTitles="1" createdVersion="8" indent="0" compact="0" compactData="0" multipleFieldFilters="0" rowHeaderCaption="VM">
  <location ref="A1:D550" firstHeaderRow="1" firstDataRow="1" firstDataCol="3"/>
  <pivotFields count="10">
    <pivotField compact="0" outline="0" showAll="0">
      <extLst>
        <ext xmlns:x14="http://schemas.microsoft.com/office/spreadsheetml/2009/9/main" uri="{2946ED86-A175-432a-8AC1-64E0C546D7DE}">
          <x14:pivotField fillDownLabels="1"/>
        </ext>
      </extLst>
    </pivotField>
    <pivotField axis="axisRow" compact="0" outline="0" showAll="0">
      <items count="110">
        <item x="56"/>
        <item x="35"/>
        <item x="52"/>
        <item x="65"/>
        <item x="101"/>
        <item x="102"/>
        <item x="84"/>
        <item x="91"/>
        <item x="49"/>
        <item x="16"/>
        <item x="66"/>
        <item x="100"/>
        <item x="103"/>
        <item x="80"/>
        <item x="105"/>
        <item x="74"/>
        <item x="2"/>
        <item x="13"/>
        <item x="67"/>
        <item x="20"/>
        <item x="39"/>
        <item x="92"/>
        <item x="95"/>
        <item x="24"/>
        <item x="77"/>
        <item x="97"/>
        <item x="4"/>
        <item x="23"/>
        <item x="72"/>
        <item x="75"/>
        <item x="87"/>
        <item x="3"/>
        <item x="31"/>
        <item x="36"/>
        <item x="29"/>
        <item x="59"/>
        <item x="90"/>
        <item x="26"/>
        <item x="53"/>
        <item x="81"/>
        <item x="25"/>
        <item x="73"/>
        <item x="43"/>
        <item x="42"/>
        <item x="68"/>
        <item x="10"/>
        <item x="47"/>
        <item x="50"/>
        <item x="30"/>
        <item x="7"/>
        <item x="45"/>
        <item x="88"/>
        <item x="94"/>
        <item x="60"/>
        <item x="11"/>
        <item x="12"/>
        <item x="76"/>
        <item x="21"/>
        <item x="86"/>
        <item x="108"/>
        <item x="54"/>
        <item x="5"/>
        <item x="58"/>
        <item x="0"/>
        <item x="40"/>
        <item x="1"/>
        <item x="19"/>
        <item x="106"/>
        <item x="99"/>
        <item x="41"/>
        <item x="64"/>
        <item x="37"/>
        <item x="32"/>
        <item x="69"/>
        <item x="18"/>
        <item x="79"/>
        <item x="61"/>
        <item x="8"/>
        <item x="17"/>
        <item x="34"/>
        <item x="62"/>
        <item x="46"/>
        <item x="51"/>
        <item x="27"/>
        <item x="63"/>
        <item x="55"/>
        <item x="82"/>
        <item x="96"/>
        <item x="14"/>
        <item x="78"/>
        <item x="104"/>
        <item x="83"/>
        <item x="6"/>
        <item x="70"/>
        <item x="48"/>
        <item x="38"/>
        <item x="57"/>
        <item x="93"/>
        <item x="44"/>
        <item x="9"/>
        <item x="15"/>
        <item x="89"/>
        <item x="85"/>
        <item x="22"/>
        <item x="28"/>
        <item x="107"/>
        <item x="33"/>
        <item x="98"/>
        <item x="71"/>
        <item t="default"/>
      </items>
      <extLst>
        <ext xmlns:x14="http://schemas.microsoft.com/office/spreadsheetml/2009/9/main" uri="{2946ED86-A175-432a-8AC1-64E0C546D7DE}">
          <x14:pivotField fillDownLabels="1"/>
        </ext>
      </extLst>
    </pivotField>
    <pivotField axis="axisRow" compact="0" outline="0" showAll="0" sortType="descending">
      <items count="15">
        <item x="2"/>
        <item x="4"/>
        <item x="0"/>
        <item x="7"/>
        <item x="3"/>
        <item x="5"/>
        <item x="11"/>
        <item x="6"/>
        <item x="12"/>
        <item x="13"/>
        <item x="8"/>
        <item x="1"/>
        <item x="9"/>
        <item x="10"/>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3">
    <field x="9"/>
    <field x="1"/>
    <field x="2"/>
  </rowFields>
  <rowItems count="549">
    <i>
      <x v="2"/>
      <x v="3"/>
      <x/>
    </i>
    <i t="default" r="1">
      <x v="3"/>
    </i>
    <i r="1">
      <x v="4"/>
      <x v="1"/>
    </i>
    <i t="default" r="1">
      <x v="4"/>
    </i>
    <i r="1">
      <x v="5"/>
      <x v="3"/>
    </i>
    <i r="2">
      <x/>
    </i>
    <i t="default" r="1">
      <x v="5"/>
    </i>
    <i r="1">
      <x v="9"/>
      <x v="3"/>
    </i>
    <i r="2">
      <x v="2"/>
    </i>
    <i r="2">
      <x/>
    </i>
    <i r="2">
      <x v="1"/>
    </i>
    <i t="default" r="1">
      <x v="9"/>
    </i>
    <i r="1">
      <x v="11"/>
      <x v="2"/>
    </i>
    <i t="default" r="1">
      <x v="11"/>
    </i>
    <i r="1">
      <x v="17"/>
      <x v="3"/>
    </i>
    <i r="2">
      <x v="2"/>
    </i>
    <i r="2">
      <x/>
    </i>
    <i r="2">
      <x v="1"/>
    </i>
    <i t="default" r="1">
      <x v="17"/>
    </i>
    <i r="1">
      <x v="20"/>
      <x v="3"/>
    </i>
    <i r="2">
      <x v="2"/>
    </i>
    <i r="2">
      <x/>
    </i>
    <i r="2">
      <x v="1"/>
    </i>
    <i t="default" r="1">
      <x v="20"/>
    </i>
    <i r="1">
      <x v="21"/>
      <x v="1"/>
    </i>
    <i t="default" r="1">
      <x v="21"/>
    </i>
    <i r="1">
      <x v="23"/>
      <x v="9"/>
    </i>
    <i r="2">
      <x v="5"/>
    </i>
    <i r="2">
      <x/>
    </i>
    <i r="2">
      <x v="1"/>
    </i>
    <i r="2">
      <x v="6"/>
    </i>
    <i r="2">
      <x v="2"/>
    </i>
    <i r="2">
      <x v="13"/>
    </i>
    <i r="2">
      <x v="3"/>
    </i>
    <i r="2">
      <x v="4"/>
    </i>
    <i t="default" r="1">
      <x v="23"/>
    </i>
    <i r="1">
      <x v="25"/>
      <x v="3"/>
    </i>
    <i t="default" r="1">
      <x v="25"/>
    </i>
    <i r="1">
      <x v="26"/>
      <x v="3"/>
    </i>
    <i r="2">
      <x v="9"/>
    </i>
    <i r="2">
      <x v="5"/>
    </i>
    <i r="2">
      <x v="1"/>
    </i>
    <i r="2">
      <x/>
    </i>
    <i r="2">
      <x v="2"/>
    </i>
    <i t="default" r="1">
      <x v="26"/>
    </i>
    <i r="1">
      <x v="29"/>
      <x/>
    </i>
    <i r="2">
      <x v="3"/>
    </i>
    <i r="2">
      <x v="1"/>
    </i>
    <i t="default" r="1">
      <x v="29"/>
    </i>
    <i r="1">
      <x v="31"/>
      <x v="1"/>
    </i>
    <i r="2">
      <x v="3"/>
    </i>
    <i r="2">
      <x v="2"/>
    </i>
    <i t="default" r="1">
      <x v="31"/>
    </i>
    <i r="1">
      <x v="34"/>
      <x v="3"/>
    </i>
    <i r="2">
      <x v="2"/>
    </i>
    <i r="2">
      <x/>
    </i>
    <i r="2">
      <x v="1"/>
    </i>
    <i t="default" r="1">
      <x v="34"/>
    </i>
    <i r="1">
      <x v="36"/>
      <x v="3"/>
    </i>
    <i r="2">
      <x v="1"/>
    </i>
    <i t="default" r="1">
      <x v="36"/>
    </i>
    <i r="1">
      <x v="37"/>
      <x v="3"/>
    </i>
    <i r="2">
      <x v="2"/>
    </i>
    <i r="2">
      <x/>
    </i>
    <i r="2">
      <x v="1"/>
    </i>
    <i t="default" r="1">
      <x v="37"/>
    </i>
    <i r="1">
      <x v="40"/>
      <x v="1"/>
    </i>
    <i r="2">
      <x v="3"/>
    </i>
    <i r="2">
      <x v="2"/>
    </i>
    <i t="default" r="1">
      <x v="40"/>
    </i>
    <i r="1">
      <x v="41"/>
      <x/>
    </i>
    <i t="default" r="1">
      <x v="41"/>
    </i>
    <i r="1">
      <x v="42"/>
      <x v="3"/>
    </i>
    <i r="2">
      <x v="7"/>
    </i>
    <i r="2">
      <x v="5"/>
    </i>
    <i r="2">
      <x v="1"/>
    </i>
    <i r="2">
      <x/>
    </i>
    <i r="2">
      <x v="2"/>
    </i>
    <i t="default" r="1">
      <x v="42"/>
    </i>
    <i r="1">
      <x v="43"/>
      <x/>
    </i>
    <i r="2">
      <x v="7"/>
    </i>
    <i r="2">
      <x v="4"/>
    </i>
    <i r="2">
      <x v="1"/>
    </i>
    <i r="2">
      <x v="8"/>
    </i>
    <i r="2">
      <x v="2"/>
    </i>
    <i r="2">
      <x v="3"/>
    </i>
    <i t="default" r="1">
      <x v="43"/>
    </i>
    <i r="1">
      <x v="45"/>
      <x v="3"/>
    </i>
    <i r="2">
      <x/>
    </i>
    <i r="2">
      <x v="5"/>
    </i>
    <i r="2">
      <x v="1"/>
    </i>
    <i r="2">
      <x v="2"/>
    </i>
    <i t="default" r="1">
      <x v="45"/>
    </i>
    <i r="1">
      <x v="48"/>
      <x v="9"/>
    </i>
    <i r="2">
      <x v="5"/>
    </i>
    <i r="2">
      <x v="4"/>
    </i>
    <i r="2">
      <x v="1"/>
    </i>
    <i r="2">
      <x v="7"/>
    </i>
    <i r="2">
      <x v="2"/>
    </i>
    <i r="2">
      <x/>
    </i>
    <i r="2">
      <x v="3"/>
    </i>
    <i t="default" r="1">
      <x v="48"/>
    </i>
    <i r="1">
      <x v="49"/>
      <x v="3"/>
    </i>
    <i r="2">
      <x v="2"/>
    </i>
    <i r="2">
      <x/>
    </i>
    <i r="2">
      <x v="1"/>
    </i>
    <i t="default" r="1">
      <x v="49"/>
    </i>
    <i r="1">
      <x v="52"/>
      <x v="3"/>
    </i>
    <i r="2">
      <x v="1"/>
    </i>
    <i t="default" r="1">
      <x v="52"/>
    </i>
    <i r="1">
      <x v="53"/>
      <x/>
    </i>
    <i r="2">
      <x v="3"/>
    </i>
    <i r="2">
      <x v="1"/>
    </i>
    <i t="default" r="1">
      <x v="53"/>
    </i>
    <i r="1">
      <x v="54"/>
      <x v="3"/>
    </i>
    <i r="2">
      <x v="7"/>
    </i>
    <i r="2">
      <x v="4"/>
    </i>
    <i r="2">
      <x v="1"/>
    </i>
    <i r="2">
      <x/>
    </i>
    <i r="2">
      <x v="2"/>
    </i>
    <i t="default" r="1">
      <x v="54"/>
    </i>
    <i r="1">
      <x v="55"/>
      <x v="3"/>
    </i>
    <i r="2">
      <x/>
    </i>
    <i r="2">
      <x v="5"/>
    </i>
    <i r="2">
      <x v="1"/>
    </i>
    <i r="2">
      <x v="2"/>
    </i>
    <i t="default" r="1">
      <x v="55"/>
    </i>
    <i r="1">
      <x v="61"/>
      <x v="3"/>
    </i>
    <i r="2">
      <x v="7"/>
    </i>
    <i r="2">
      <x v="5"/>
    </i>
    <i r="2">
      <x v="1"/>
    </i>
    <i r="2">
      <x/>
    </i>
    <i r="2">
      <x v="2"/>
    </i>
    <i t="default" r="1">
      <x v="61"/>
    </i>
    <i r="1">
      <x v="64"/>
      <x v="13"/>
    </i>
    <i r="2">
      <x v="5"/>
    </i>
    <i r="2">
      <x v="4"/>
    </i>
    <i r="2">
      <x v="1"/>
    </i>
    <i r="2">
      <x v="7"/>
    </i>
    <i r="2">
      <x v="2"/>
    </i>
    <i r="2">
      <x/>
    </i>
    <i r="2">
      <x v="3"/>
    </i>
    <i t="default" r="1">
      <x v="64"/>
    </i>
    <i r="1">
      <x v="65"/>
      <x v="7"/>
    </i>
    <i r="2">
      <x v="11"/>
    </i>
    <i r="2">
      <x v="9"/>
    </i>
    <i r="2">
      <x v="1"/>
    </i>
    <i r="2">
      <x v="13"/>
    </i>
    <i r="2">
      <x v="2"/>
    </i>
    <i r="2">
      <x v="8"/>
    </i>
    <i r="2">
      <x v="3"/>
    </i>
    <i r="2">
      <x v="10"/>
    </i>
    <i r="2">
      <x v="4"/>
    </i>
    <i r="2">
      <x v="12"/>
    </i>
    <i r="2">
      <x v="5"/>
    </i>
    <i r="2">
      <x/>
    </i>
    <i r="2">
      <x v="6"/>
    </i>
    <i t="default" r="1">
      <x v="65"/>
    </i>
    <i r="1">
      <x v="67"/>
      <x v="6"/>
    </i>
    <i t="default" r="1">
      <x v="67"/>
    </i>
    <i r="1">
      <x v="69"/>
      <x v="7"/>
    </i>
    <i r="2">
      <x v="5"/>
    </i>
    <i r="2">
      <x v="4"/>
    </i>
    <i r="2">
      <x v="1"/>
    </i>
    <i r="2">
      <x v="6"/>
    </i>
    <i r="2">
      <x v="2"/>
    </i>
    <i r="2">
      <x/>
    </i>
    <i r="2">
      <x v="3"/>
    </i>
    <i t="default" r="1">
      <x v="69"/>
    </i>
    <i r="1">
      <x v="73"/>
      <x/>
    </i>
    <i t="default" r="1">
      <x v="73"/>
    </i>
    <i r="1">
      <x v="74"/>
      <x v="3"/>
    </i>
    <i r="2">
      <x v="2"/>
    </i>
    <i r="2">
      <x/>
    </i>
    <i r="2">
      <x v="1"/>
    </i>
    <i t="default" r="1">
      <x v="74"/>
    </i>
    <i r="1">
      <x v="76"/>
      <x/>
    </i>
    <i r="2">
      <x v="3"/>
    </i>
    <i r="2">
      <x v="1"/>
    </i>
    <i t="default" r="1">
      <x v="76"/>
    </i>
    <i r="1">
      <x v="77"/>
      <x v="13"/>
    </i>
    <i r="2">
      <x v="5"/>
    </i>
    <i r="2">
      <x v="4"/>
    </i>
    <i r="2">
      <x v="1"/>
    </i>
    <i r="2">
      <x v="7"/>
    </i>
    <i r="2">
      <x v="2"/>
    </i>
    <i r="2">
      <x/>
    </i>
    <i r="2">
      <x v="3"/>
    </i>
    <i t="default" r="1">
      <x v="77"/>
    </i>
    <i r="1">
      <x v="78"/>
      <x v="3"/>
    </i>
    <i r="2">
      <x v="2"/>
    </i>
    <i r="2">
      <x/>
    </i>
    <i r="2">
      <x v="1"/>
    </i>
    <i t="default" r="1">
      <x v="78"/>
    </i>
    <i r="1">
      <x v="80"/>
      <x/>
    </i>
    <i r="2">
      <x v="3"/>
    </i>
    <i r="2">
      <x v="1"/>
    </i>
    <i t="default" r="1">
      <x v="80"/>
    </i>
    <i r="1">
      <x v="83"/>
      <x v="3"/>
    </i>
    <i r="2">
      <x v="2"/>
    </i>
    <i r="2">
      <x/>
    </i>
    <i r="2">
      <x v="1"/>
    </i>
    <i t="default" r="1">
      <x v="83"/>
    </i>
    <i r="1">
      <x v="87"/>
      <x v="3"/>
    </i>
    <i r="2">
      <x v="1"/>
    </i>
    <i t="default" r="1">
      <x v="87"/>
    </i>
    <i r="1">
      <x v="88"/>
      <x v="3"/>
    </i>
    <i r="2">
      <x v="2"/>
    </i>
    <i r="2">
      <x/>
    </i>
    <i r="2">
      <x v="1"/>
    </i>
    <i t="default" r="1">
      <x v="88"/>
    </i>
    <i r="1">
      <x v="92"/>
      <x v="3"/>
    </i>
    <i r="2">
      <x/>
    </i>
    <i r="2">
      <x v="7"/>
    </i>
    <i r="2">
      <x v="1"/>
    </i>
    <i r="2">
      <x v="2"/>
    </i>
    <i t="default" r="1">
      <x v="92"/>
    </i>
    <i r="1">
      <x v="93"/>
      <x v="1"/>
    </i>
    <i r="2">
      <x/>
    </i>
    <i t="default" r="1">
      <x v="93"/>
    </i>
    <i r="1">
      <x v="97"/>
      <x v="3"/>
    </i>
    <i r="2">
      <x v="1"/>
    </i>
    <i t="default" r="1">
      <x v="97"/>
    </i>
    <i r="1">
      <x v="99"/>
      <x/>
    </i>
    <i r="2">
      <x v="5"/>
    </i>
    <i r="2">
      <x v="4"/>
    </i>
    <i r="2">
      <x v="1"/>
    </i>
    <i r="2">
      <x v="7"/>
    </i>
    <i r="2">
      <x v="2"/>
    </i>
    <i r="2">
      <x v="3"/>
    </i>
    <i t="default" r="1">
      <x v="99"/>
    </i>
    <i r="1">
      <x v="100"/>
      <x v="3"/>
    </i>
    <i r="2">
      <x v="2"/>
    </i>
    <i r="2">
      <x/>
    </i>
    <i r="2">
      <x v="1"/>
    </i>
    <i t="default" r="1">
      <x v="100"/>
    </i>
    <i r="1">
      <x v="102"/>
      <x v="3"/>
    </i>
    <i r="2">
      <x v="2"/>
    </i>
    <i r="2">
      <x/>
    </i>
    <i r="2">
      <x v="1"/>
    </i>
    <i t="default" r="1">
      <x v="102"/>
    </i>
    <i r="1">
      <x v="104"/>
      <x v="2"/>
    </i>
    <i r="2">
      <x/>
    </i>
    <i t="default" r="1">
      <x v="104"/>
    </i>
    <i r="1">
      <x v="105"/>
      <x v="9"/>
    </i>
    <i t="default" r="1">
      <x v="105"/>
    </i>
    <i t="default">
      <x v="2"/>
    </i>
    <i>
      <x/>
      <x v="1"/>
      <x v="3"/>
    </i>
    <i r="2">
      <x v="2"/>
    </i>
    <i r="2">
      <x/>
    </i>
    <i r="2">
      <x v="1"/>
    </i>
    <i t="default" r="1">
      <x v="1"/>
    </i>
    <i r="1">
      <x v="6"/>
      <x v="1"/>
    </i>
    <i r="2">
      <x/>
    </i>
    <i t="default" r="1">
      <x v="6"/>
    </i>
    <i r="1">
      <x v="13"/>
      <x v="1"/>
    </i>
    <i r="2">
      <x/>
    </i>
    <i t="default" r="1">
      <x v="13"/>
    </i>
    <i r="1">
      <x v="16"/>
      <x v="7"/>
    </i>
    <i r="2">
      <x v="12"/>
    </i>
    <i r="2">
      <x v="10"/>
    </i>
    <i r="2">
      <x v="1"/>
    </i>
    <i r="2">
      <x/>
    </i>
    <i r="2">
      <x v="2"/>
    </i>
    <i r="2">
      <x v="8"/>
    </i>
    <i r="2">
      <x v="3"/>
    </i>
    <i r="2">
      <x v="11"/>
    </i>
    <i r="2">
      <x v="4"/>
    </i>
    <i r="2">
      <x v="13"/>
    </i>
    <i r="2">
      <x v="5"/>
    </i>
    <i r="2">
      <x v="6"/>
    </i>
    <i t="default" r="1">
      <x v="16"/>
    </i>
    <i r="1">
      <x v="19"/>
      <x v="3"/>
    </i>
    <i r="2">
      <x/>
    </i>
    <i r="2">
      <x v="9"/>
    </i>
    <i r="2">
      <x v="1"/>
    </i>
    <i r="2">
      <x v="2"/>
    </i>
    <i t="default" r="1">
      <x v="19"/>
    </i>
    <i r="1">
      <x v="24"/>
      <x/>
    </i>
    <i r="2">
      <x v="3"/>
    </i>
    <i r="2">
      <x v="1"/>
    </i>
    <i t="default" r="1">
      <x v="24"/>
    </i>
    <i r="1">
      <x v="27"/>
      <x v="2"/>
    </i>
    <i t="default" r="1">
      <x v="27"/>
    </i>
    <i r="1">
      <x v="28"/>
      <x v="1"/>
    </i>
    <i r="2">
      <x/>
    </i>
    <i t="default" r="1">
      <x v="28"/>
    </i>
    <i r="1">
      <x v="30"/>
      <x v="1"/>
    </i>
    <i t="default" r="1">
      <x v="30"/>
    </i>
    <i r="1">
      <x v="32"/>
      <x v="13"/>
    </i>
    <i r="2">
      <x v="5"/>
    </i>
    <i r="2">
      <x v="4"/>
    </i>
    <i r="2">
      <x v="1"/>
    </i>
    <i r="2">
      <x v="7"/>
    </i>
    <i r="2">
      <x v="2"/>
    </i>
    <i r="2">
      <x/>
    </i>
    <i r="2">
      <x v="3"/>
    </i>
    <i t="default" r="1">
      <x v="32"/>
    </i>
    <i r="1">
      <x v="33"/>
      <x v="3"/>
    </i>
    <i r="2">
      <x v="2"/>
    </i>
    <i r="2">
      <x/>
    </i>
    <i r="2">
      <x v="1"/>
    </i>
    <i t="default" r="1">
      <x v="33"/>
    </i>
    <i r="1">
      <x v="35"/>
      <x/>
    </i>
    <i r="2">
      <x v="3"/>
    </i>
    <i r="2">
      <x v="1"/>
    </i>
    <i t="default" r="1">
      <x v="35"/>
    </i>
    <i r="1">
      <x v="39"/>
      <x v="1"/>
    </i>
    <i r="2">
      <x/>
    </i>
    <i t="default" r="1">
      <x v="39"/>
    </i>
    <i r="1">
      <x v="51"/>
      <x v="3"/>
    </i>
    <i r="2">
      <x v="1"/>
    </i>
    <i t="default" r="1">
      <x v="51"/>
    </i>
    <i r="1">
      <x v="56"/>
      <x v="3"/>
    </i>
    <i r="2">
      <x v="2"/>
    </i>
    <i r="2">
      <x/>
    </i>
    <i r="2">
      <x v="1"/>
    </i>
    <i t="default" r="1">
      <x v="56"/>
    </i>
    <i r="1">
      <x v="57"/>
      <x/>
    </i>
    <i r="2">
      <x v="5"/>
    </i>
    <i r="2">
      <x v="4"/>
    </i>
    <i r="2">
      <x v="1"/>
    </i>
    <i r="2">
      <x v="7"/>
    </i>
    <i r="2">
      <x v="2"/>
    </i>
    <i r="2">
      <x v="3"/>
    </i>
    <i t="default" r="1">
      <x v="57"/>
    </i>
    <i r="1">
      <x v="58"/>
      <x v="1"/>
    </i>
    <i t="default" r="1">
      <x v="58"/>
    </i>
    <i r="1">
      <x v="59"/>
      <x v="9"/>
    </i>
    <i t="default" r="1">
      <x v="59"/>
    </i>
    <i r="1">
      <x v="62"/>
      <x/>
    </i>
    <i t="default" r="1">
      <x v="62"/>
    </i>
    <i r="1">
      <x v="66"/>
      <x v="3"/>
    </i>
    <i r="2">
      <x v="5"/>
    </i>
    <i r="2">
      <x v="4"/>
    </i>
    <i r="2">
      <x v="1"/>
    </i>
    <i r="2">
      <x/>
    </i>
    <i r="2">
      <x v="2"/>
    </i>
    <i t="default" r="1">
      <x v="66"/>
    </i>
    <i r="1">
      <x v="70"/>
      <x v="3"/>
    </i>
    <i r="2">
      <x v="2"/>
    </i>
    <i r="2">
      <x/>
    </i>
    <i r="2">
      <x v="1"/>
    </i>
    <i t="default" r="1">
      <x v="70"/>
    </i>
    <i r="1">
      <x v="71"/>
      <x v="3"/>
    </i>
    <i r="2">
      <x v="7"/>
    </i>
    <i r="2">
      <x v="5"/>
    </i>
    <i r="2">
      <x v="1"/>
    </i>
    <i r="2">
      <x/>
    </i>
    <i r="2">
      <x v="2"/>
    </i>
    <i t="default" r="1">
      <x v="71"/>
    </i>
    <i r="1">
      <x v="72"/>
      <x v="3"/>
    </i>
    <i r="2">
      <x v="9"/>
    </i>
    <i r="2">
      <x v="4"/>
    </i>
    <i r="2">
      <x v="1"/>
    </i>
    <i r="2">
      <x/>
    </i>
    <i r="2">
      <x v="2"/>
    </i>
    <i t="default" r="1">
      <x v="72"/>
    </i>
    <i r="1">
      <x v="75"/>
      <x/>
    </i>
    <i r="2">
      <x v="3"/>
    </i>
    <i r="2">
      <x v="1"/>
    </i>
    <i t="default" r="1">
      <x v="75"/>
    </i>
    <i r="1">
      <x v="79"/>
      <x v="2"/>
    </i>
    <i r="2">
      <x/>
    </i>
    <i t="default" r="1">
      <x v="79"/>
    </i>
    <i r="1">
      <x v="86"/>
      <x/>
    </i>
    <i t="default" r="1">
      <x v="86"/>
    </i>
    <i r="1">
      <x v="89"/>
      <x/>
    </i>
    <i r="2">
      <x v="3"/>
    </i>
    <i r="2">
      <x v="1"/>
    </i>
    <i t="default" r="1">
      <x v="89"/>
    </i>
    <i r="1">
      <x v="90"/>
      <x v="2"/>
    </i>
    <i t="default" r="1">
      <x v="90"/>
    </i>
    <i r="1">
      <x v="91"/>
      <x v="3"/>
    </i>
    <i r="2">
      <x v="2"/>
    </i>
    <i r="2">
      <x/>
    </i>
    <i r="2">
      <x v="1"/>
    </i>
    <i t="default" r="1">
      <x v="91"/>
    </i>
    <i r="1">
      <x v="95"/>
      <x v="3"/>
    </i>
    <i r="2">
      <x v="2"/>
    </i>
    <i r="2">
      <x/>
    </i>
    <i r="2">
      <x v="1"/>
    </i>
    <i t="default" r="1">
      <x v="95"/>
    </i>
    <i r="1">
      <x v="96"/>
      <x v="2"/>
    </i>
    <i r="2">
      <x/>
    </i>
    <i t="default" r="1">
      <x v="96"/>
    </i>
    <i r="1">
      <x v="103"/>
      <x v="3"/>
    </i>
    <i r="2">
      <x v="7"/>
    </i>
    <i r="2">
      <x v="4"/>
    </i>
    <i r="2">
      <x v="1"/>
    </i>
    <i r="2">
      <x/>
    </i>
    <i r="2">
      <x v="2"/>
    </i>
    <i t="default" r="1">
      <x v="103"/>
    </i>
    <i r="1">
      <x v="106"/>
      <x v="3"/>
    </i>
    <i r="2">
      <x v="5"/>
    </i>
    <i r="2">
      <x v="4"/>
    </i>
    <i r="2">
      <x v="1"/>
    </i>
    <i r="2">
      <x/>
    </i>
    <i r="2">
      <x v="2"/>
    </i>
    <i t="default" r="1">
      <x v="106"/>
    </i>
    <i t="default">
      <x/>
    </i>
    <i>
      <x v="1"/>
      <x/>
      <x v="5"/>
    </i>
    <i r="2">
      <x/>
    </i>
    <i r="2">
      <x v="7"/>
    </i>
    <i r="2">
      <x v="1"/>
    </i>
    <i r="2">
      <x v="3"/>
    </i>
    <i t="default" r="1">
      <x/>
    </i>
    <i r="1">
      <x v="2"/>
      <x v="2"/>
    </i>
    <i t="default" r="1">
      <x v="2"/>
    </i>
    <i r="1">
      <x v="7"/>
      <x v="1"/>
    </i>
    <i t="default" r="1">
      <x v="7"/>
    </i>
    <i r="1">
      <x v="8"/>
      <x v="3"/>
    </i>
    <i r="2">
      <x v="2"/>
    </i>
    <i r="2">
      <x/>
    </i>
    <i r="2">
      <x v="1"/>
    </i>
    <i t="default" r="1">
      <x v="8"/>
    </i>
    <i r="1">
      <x v="10"/>
      <x v="1"/>
    </i>
    <i r="2">
      <x/>
    </i>
    <i t="default" r="1">
      <x v="10"/>
    </i>
    <i r="1">
      <x v="12"/>
      <x v="2"/>
    </i>
    <i r="2">
      <x/>
    </i>
    <i t="default" r="1">
      <x v="12"/>
    </i>
    <i r="1">
      <x v="14"/>
      <x v="6"/>
    </i>
    <i r="2">
      <x v="9"/>
    </i>
    <i r="2">
      <x v="8"/>
    </i>
    <i t="default" r="1">
      <x v="14"/>
    </i>
    <i r="1">
      <x v="15"/>
      <x v="10"/>
    </i>
    <i r="2">
      <x v="5"/>
    </i>
    <i r="2">
      <x v="13"/>
    </i>
    <i r="2">
      <x v="1"/>
    </i>
    <i r="2">
      <x v="7"/>
    </i>
    <i r="2">
      <x v="2"/>
    </i>
    <i r="2">
      <x v="12"/>
    </i>
    <i r="2">
      <x v="3"/>
    </i>
    <i r="2">
      <x/>
    </i>
    <i r="2">
      <x v="4"/>
    </i>
    <i t="default" r="1">
      <x v="15"/>
    </i>
    <i r="1">
      <x v="18"/>
      <x/>
    </i>
    <i r="2">
      <x v="3"/>
    </i>
    <i r="2">
      <x v="1"/>
    </i>
    <i t="default" r="1">
      <x v="18"/>
    </i>
    <i r="1">
      <x v="22"/>
      <x v="3"/>
    </i>
    <i r="2">
      <x v="1"/>
    </i>
    <i t="default" r="1">
      <x v="22"/>
    </i>
    <i r="1">
      <x v="38"/>
      <x v="3"/>
    </i>
    <i r="2">
      <x v="2"/>
    </i>
    <i r="2">
      <x/>
    </i>
    <i r="2">
      <x v="1"/>
    </i>
    <i t="default" r="1">
      <x v="38"/>
    </i>
    <i r="1">
      <x v="44"/>
      <x/>
    </i>
    <i t="default" r="1">
      <x v="44"/>
    </i>
    <i r="1">
      <x v="46"/>
      <x v="9"/>
    </i>
    <i r="2">
      <x/>
    </i>
    <i r="2">
      <x v="12"/>
    </i>
    <i r="2">
      <x v="1"/>
    </i>
    <i r="2">
      <x v="6"/>
    </i>
    <i r="2">
      <x v="2"/>
    </i>
    <i r="2">
      <x v="10"/>
    </i>
    <i r="2">
      <x v="3"/>
    </i>
    <i r="2">
      <x v="13"/>
    </i>
    <i r="2">
      <x v="4"/>
    </i>
    <i r="2">
      <x v="5"/>
    </i>
    <i t="default" r="1">
      <x v="46"/>
    </i>
    <i r="1">
      <x v="47"/>
      <x v="3"/>
    </i>
    <i r="2">
      <x/>
    </i>
    <i r="2">
      <x v="5"/>
    </i>
    <i r="2">
      <x v="1"/>
    </i>
    <i r="2">
      <x v="2"/>
    </i>
    <i t="default" r="1">
      <x v="47"/>
    </i>
    <i r="1">
      <x v="49"/>
      <x v="9"/>
    </i>
    <i r="2">
      <x v="3"/>
    </i>
    <i r="2">
      <x/>
    </i>
    <i r="2">
      <x v="1"/>
    </i>
    <i t="default" r="1">
      <x v="49"/>
    </i>
    <i r="1">
      <x v="50"/>
      <x v="3"/>
    </i>
    <i r="2">
      <x v="2"/>
    </i>
    <i r="2">
      <x/>
    </i>
    <i r="2">
      <x v="1"/>
    </i>
    <i t="default" r="1">
      <x v="50"/>
    </i>
    <i r="1">
      <x v="60"/>
      <x v="7"/>
    </i>
    <i r="2">
      <x/>
    </i>
    <i r="2">
      <x v="9"/>
    </i>
    <i r="2">
      <x v="1"/>
    </i>
    <i r="2">
      <x v="6"/>
    </i>
    <i r="2">
      <x v="2"/>
    </i>
    <i r="2">
      <x v="8"/>
    </i>
    <i r="2">
      <x v="3"/>
    </i>
    <i r="2">
      <x v="13"/>
    </i>
    <i r="2">
      <x v="4"/>
    </i>
    <i r="2">
      <x v="5"/>
    </i>
    <i t="default" r="1">
      <x v="60"/>
    </i>
    <i r="1">
      <x v="63"/>
      <x v="3"/>
    </i>
    <i r="2">
      <x/>
    </i>
    <i r="2">
      <x v="5"/>
    </i>
    <i r="2">
      <x v="1"/>
    </i>
    <i r="2">
      <x v="2"/>
    </i>
    <i t="default" r="1">
      <x v="63"/>
    </i>
    <i r="1">
      <x v="68"/>
      <x v="9"/>
    </i>
    <i r="2">
      <x v="7"/>
    </i>
    <i r="2">
      <x v="1"/>
    </i>
    <i r="2">
      <x v="3"/>
    </i>
    <i r="2">
      <x v="8"/>
    </i>
    <i r="2">
      <x v="4"/>
    </i>
    <i r="2">
      <x v="13"/>
    </i>
    <i r="2">
      <x v="5"/>
    </i>
    <i r="2">
      <x v="6"/>
    </i>
    <i t="default" r="1">
      <x v="68"/>
    </i>
    <i r="1">
      <x v="81"/>
      <x v="3"/>
    </i>
    <i r="2">
      <x/>
    </i>
    <i r="2">
      <x v="7"/>
    </i>
    <i r="2">
      <x v="1"/>
    </i>
    <i r="2">
      <x v="2"/>
    </i>
    <i t="default" r="1">
      <x v="81"/>
    </i>
    <i r="1">
      <x v="82"/>
      <x v="9"/>
    </i>
    <i r="2">
      <x v="2"/>
    </i>
    <i r="2">
      <x/>
    </i>
    <i r="2">
      <x v="1"/>
    </i>
    <i t="default" r="1">
      <x v="82"/>
    </i>
    <i r="1">
      <x v="84"/>
      <x/>
    </i>
    <i t="default" r="1">
      <x v="84"/>
    </i>
    <i r="1">
      <x v="85"/>
      <x v="3"/>
    </i>
    <i r="2">
      <x v="2"/>
    </i>
    <i r="2">
      <x/>
    </i>
    <i r="2">
      <x v="1"/>
    </i>
    <i t="default" r="1">
      <x v="85"/>
    </i>
    <i r="1">
      <x v="94"/>
      <x/>
    </i>
    <i r="2">
      <x v="7"/>
    </i>
    <i r="2">
      <x v="4"/>
    </i>
    <i r="2">
      <x v="1"/>
    </i>
    <i r="2">
      <x v="8"/>
    </i>
    <i r="2">
      <x v="2"/>
    </i>
    <i r="2">
      <x v="3"/>
    </i>
    <i t="default" r="1">
      <x v="94"/>
    </i>
    <i r="1">
      <x v="98"/>
      <x v="3"/>
    </i>
    <i r="2">
      <x/>
    </i>
    <i r="2">
      <x v="4"/>
    </i>
    <i r="2">
      <x v="1"/>
    </i>
    <i r="2">
      <x v="2"/>
    </i>
    <i t="default" r="1">
      <x v="98"/>
    </i>
    <i r="1">
      <x v="101"/>
      <x v="1"/>
    </i>
    <i r="2">
      <x/>
    </i>
    <i t="default" r="1">
      <x v="101"/>
    </i>
    <i r="1">
      <x v="107"/>
      <x/>
    </i>
    <i t="default" r="1">
      <x v="107"/>
    </i>
    <i r="1">
      <x v="108"/>
      <x v="1"/>
    </i>
    <i r="2">
      <x/>
    </i>
    <i t="default" r="1">
      <x v="108"/>
    </i>
    <i t="default">
      <x v="1"/>
    </i>
    <i t="grand">
      <x/>
    </i>
  </rowItems>
  <colItems count="1">
    <i/>
  </colItems>
  <dataFields count="1">
    <dataField name="Sum of Qty" fld="4" baseField="0" baseItem="0"/>
  </dataFields>
  <formats count="292">
    <format dxfId="291">
      <pivotArea type="all" dataOnly="0" outline="0" fieldPosition="0"/>
    </format>
    <format dxfId="290">
      <pivotArea outline="0" collapsedLevelsAreSubtotals="1" fieldPosition="0"/>
    </format>
    <format dxfId="289">
      <pivotArea field="9" type="button" dataOnly="0" labelOnly="1" outline="0" axis="axisRow" fieldPosition="0"/>
    </format>
    <format dxfId="288">
      <pivotArea field="1" type="button" dataOnly="0" labelOnly="1" outline="0" axis="axisRow" fieldPosition="1"/>
    </format>
    <format dxfId="287">
      <pivotArea field="2" type="button" dataOnly="0" labelOnly="1" outline="0" axis="axisRow" fieldPosition="2"/>
    </format>
    <format dxfId="286">
      <pivotArea dataOnly="0" labelOnly="1" outline="0" fieldPosition="0">
        <references count="1">
          <reference field="9" count="0"/>
        </references>
      </pivotArea>
    </format>
    <format dxfId="285">
      <pivotArea dataOnly="0" labelOnly="1" outline="0" fieldPosition="0">
        <references count="1">
          <reference field="9" count="0" defaultSubtotal="1"/>
        </references>
      </pivotArea>
    </format>
    <format dxfId="284">
      <pivotArea dataOnly="0" labelOnly="1" outline="0" fieldPosition="0">
        <references count="2">
          <reference field="1" count="25" defaultSubtotal="1">
            <x v="1"/>
            <x v="6"/>
            <x v="13"/>
            <x v="16"/>
            <x v="19"/>
            <x v="24"/>
            <x v="27"/>
            <x v="28"/>
            <x v="30"/>
            <x v="32"/>
            <x v="33"/>
            <x v="35"/>
            <x v="39"/>
            <x v="51"/>
            <x v="56"/>
            <x v="57"/>
            <x v="58"/>
            <x v="59"/>
            <x v="62"/>
            <x v="66"/>
            <x v="70"/>
            <x v="71"/>
            <x v="72"/>
            <x v="75"/>
            <x v="79"/>
          </reference>
          <reference field="9" count="1" selected="0">
            <x v="0"/>
          </reference>
        </references>
      </pivotArea>
    </format>
    <format dxfId="283">
      <pivotArea dataOnly="0" labelOnly="1" outline="0" fieldPosition="0">
        <references count="2">
          <reference field="1" count="8" defaultSubtotal="1">
            <x v="86"/>
            <x v="89"/>
            <x v="90"/>
            <x v="91"/>
            <x v="95"/>
            <x v="96"/>
            <x v="103"/>
            <x v="106"/>
          </reference>
          <reference field="9" count="1" selected="0">
            <x v="0"/>
          </reference>
        </references>
      </pivotArea>
    </format>
    <format dxfId="282">
      <pivotArea dataOnly="0" labelOnly="1" outline="0" fieldPosition="0">
        <references count="2">
          <reference field="1" count="25" defaultSubtotal="1">
            <x v="0"/>
            <x v="2"/>
            <x v="7"/>
            <x v="8"/>
            <x v="10"/>
            <x v="12"/>
            <x v="14"/>
            <x v="15"/>
            <x v="18"/>
            <x v="22"/>
            <x v="38"/>
            <x v="44"/>
            <x v="46"/>
            <x v="47"/>
            <x v="49"/>
            <x v="50"/>
            <x v="60"/>
            <x v="63"/>
            <x v="68"/>
            <x v="81"/>
            <x v="82"/>
            <x v="84"/>
            <x v="85"/>
            <x v="94"/>
            <x v="98"/>
          </reference>
          <reference field="9" count="1" selected="0">
            <x v="1"/>
          </reference>
        </references>
      </pivotArea>
    </format>
    <format dxfId="281">
      <pivotArea dataOnly="0" labelOnly="1" outline="0" fieldPosition="0">
        <references count="2">
          <reference field="1" count="3" defaultSubtotal="1">
            <x v="101"/>
            <x v="107"/>
            <x v="108"/>
          </reference>
          <reference field="9" count="1" selected="0">
            <x v="1"/>
          </reference>
        </references>
      </pivotArea>
    </format>
    <format dxfId="280">
      <pivotArea dataOnly="0" labelOnly="1" outline="0" fieldPosition="0">
        <references count="2">
          <reference field="1" count="25" defaultSubtotal="1">
            <x v="3"/>
            <x v="4"/>
            <x v="5"/>
            <x v="9"/>
            <x v="11"/>
            <x v="17"/>
            <x v="20"/>
            <x v="21"/>
            <x v="23"/>
            <x v="25"/>
            <x v="26"/>
            <x v="29"/>
            <x v="31"/>
            <x v="34"/>
            <x v="36"/>
            <x v="37"/>
            <x v="40"/>
            <x v="41"/>
            <x v="42"/>
            <x v="43"/>
            <x v="45"/>
            <x v="48"/>
            <x v="49"/>
            <x v="52"/>
            <x v="53"/>
          </reference>
          <reference field="9" count="1" selected="0">
            <x v="2"/>
          </reference>
        </references>
      </pivotArea>
    </format>
    <format dxfId="279">
      <pivotArea dataOnly="0" labelOnly="1" outline="0" fieldPosition="0">
        <references count="2">
          <reference field="1" count="24" defaultSubtotal="1">
            <x v="54"/>
            <x v="55"/>
            <x v="61"/>
            <x v="64"/>
            <x v="65"/>
            <x v="67"/>
            <x v="69"/>
            <x v="73"/>
            <x v="74"/>
            <x v="76"/>
            <x v="77"/>
            <x v="78"/>
            <x v="80"/>
            <x v="83"/>
            <x v="87"/>
            <x v="88"/>
            <x v="92"/>
            <x v="93"/>
            <x v="97"/>
            <x v="99"/>
            <x v="100"/>
            <x v="102"/>
            <x v="104"/>
            <x v="105"/>
          </reference>
          <reference field="9" count="1" selected="0">
            <x v="2"/>
          </reference>
        </references>
      </pivotArea>
    </format>
    <format dxfId="278">
      <pivotArea dataOnly="0" labelOnly="1" outline="0" fieldPosition="0">
        <references count="3">
          <reference field="1" count="1" selected="0">
            <x v="1"/>
          </reference>
          <reference field="2" count="4">
            <x v="0"/>
            <x v="1"/>
            <x v="2"/>
            <x v="3"/>
          </reference>
          <reference field="9" count="1" selected="0">
            <x v="0"/>
          </reference>
        </references>
      </pivotArea>
    </format>
    <format dxfId="277">
      <pivotArea dataOnly="0" labelOnly="1" outline="0" fieldPosition="0">
        <references count="3">
          <reference field="1" count="1" selected="0">
            <x v="6"/>
          </reference>
          <reference field="2" count="2">
            <x v="0"/>
            <x v="1"/>
          </reference>
          <reference field="9" count="1" selected="0">
            <x v="0"/>
          </reference>
        </references>
      </pivotArea>
    </format>
    <format dxfId="276">
      <pivotArea dataOnly="0" labelOnly="1" outline="0" fieldPosition="0">
        <references count="3">
          <reference field="1" count="1" selected="0">
            <x v="13"/>
          </reference>
          <reference field="2" count="2">
            <x v="0"/>
            <x v="1"/>
          </reference>
          <reference field="9" count="1" selected="0">
            <x v="0"/>
          </reference>
        </references>
      </pivotArea>
    </format>
    <format dxfId="275">
      <pivotArea dataOnly="0" labelOnly="1" outline="0" fieldPosition="0">
        <references count="3">
          <reference field="1" count="1" selected="0">
            <x v="16"/>
          </reference>
          <reference field="2" count="13">
            <x v="0"/>
            <x v="1"/>
            <x v="2"/>
            <x v="3"/>
            <x v="4"/>
            <x v="5"/>
            <x v="6"/>
            <x v="7"/>
            <x v="8"/>
            <x v="10"/>
            <x v="11"/>
            <x v="12"/>
            <x v="13"/>
          </reference>
          <reference field="9" count="1" selected="0">
            <x v="0"/>
          </reference>
        </references>
      </pivotArea>
    </format>
    <format dxfId="274">
      <pivotArea dataOnly="0" labelOnly="1" outline="0" fieldPosition="0">
        <references count="3">
          <reference field="1" count="1" selected="0">
            <x v="19"/>
          </reference>
          <reference field="2" count="5">
            <x v="0"/>
            <x v="1"/>
            <x v="2"/>
            <x v="3"/>
            <x v="9"/>
          </reference>
          <reference field="9" count="1" selected="0">
            <x v="0"/>
          </reference>
        </references>
      </pivotArea>
    </format>
    <format dxfId="273">
      <pivotArea dataOnly="0" labelOnly="1" outline="0" fieldPosition="0">
        <references count="3">
          <reference field="1" count="1" selected="0">
            <x v="24"/>
          </reference>
          <reference field="2" count="3">
            <x v="0"/>
            <x v="1"/>
            <x v="3"/>
          </reference>
          <reference field="9" count="1" selected="0">
            <x v="0"/>
          </reference>
        </references>
      </pivotArea>
    </format>
    <format dxfId="272">
      <pivotArea dataOnly="0" labelOnly="1" outline="0" fieldPosition="0">
        <references count="3">
          <reference field="1" count="1" selected="0">
            <x v="27"/>
          </reference>
          <reference field="2" count="1">
            <x v="2"/>
          </reference>
          <reference field="9" count="1" selected="0">
            <x v="0"/>
          </reference>
        </references>
      </pivotArea>
    </format>
    <format dxfId="271">
      <pivotArea dataOnly="0" labelOnly="1" outline="0" fieldPosition="0">
        <references count="3">
          <reference field="1" count="1" selected="0">
            <x v="28"/>
          </reference>
          <reference field="2" count="2">
            <x v="0"/>
            <x v="1"/>
          </reference>
          <reference field="9" count="1" selected="0">
            <x v="0"/>
          </reference>
        </references>
      </pivotArea>
    </format>
    <format dxfId="270">
      <pivotArea dataOnly="0" labelOnly="1" outline="0" fieldPosition="0">
        <references count="3">
          <reference field="1" count="1" selected="0">
            <x v="30"/>
          </reference>
          <reference field="2" count="1">
            <x v="1"/>
          </reference>
          <reference field="9" count="1" selected="0">
            <x v="0"/>
          </reference>
        </references>
      </pivotArea>
    </format>
    <format dxfId="269">
      <pivotArea dataOnly="0" labelOnly="1" outline="0" fieldPosition="0">
        <references count="3">
          <reference field="1" count="1" selected="0">
            <x v="32"/>
          </reference>
          <reference field="2" count="8">
            <x v="0"/>
            <x v="1"/>
            <x v="2"/>
            <x v="3"/>
            <x v="4"/>
            <x v="5"/>
            <x v="7"/>
            <x v="13"/>
          </reference>
          <reference field="9" count="1" selected="0">
            <x v="0"/>
          </reference>
        </references>
      </pivotArea>
    </format>
    <format dxfId="268">
      <pivotArea dataOnly="0" labelOnly="1" outline="0" fieldPosition="0">
        <references count="3">
          <reference field="1" count="1" selected="0">
            <x v="33"/>
          </reference>
          <reference field="2" count="4">
            <x v="0"/>
            <x v="1"/>
            <x v="2"/>
            <x v="3"/>
          </reference>
          <reference field="9" count="1" selected="0">
            <x v="0"/>
          </reference>
        </references>
      </pivotArea>
    </format>
    <format dxfId="267">
      <pivotArea dataOnly="0" labelOnly="1" outline="0" fieldPosition="0">
        <references count="3">
          <reference field="1" count="1" selected="0">
            <x v="35"/>
          </reference>
          <reference field="2" count="3">
            <x v="0"/>
            <x v="1"/>
            <x v="3"/>
          </reference>
          <reference field="9" count="1" selected="0">
            <x v="0"/>
          </reference>
        </references>
      </pivotArea>
    </format>
    <format dxfId="266">
      <pivotArea dataOnly="0" labelOnly="1" outline="0" fieldPosition="0">
        <references count="3">
          <reference field="1" count="1" selected="0">
            <x v="39"/>
          </reference>
          <reference field="2" count="2">
            <x v="0"/>
            <x v="1"/>
          </reference>
          <reference field="9" count="1" selected="0">
            <x v="0"/>
          </reference>
        </references>
      </pivotArea>
    </format>
    <format dxfId="265">
      <pivotArea dataOnly="0" labelOnly="1" outline="0" fieldPosition="0">
        <references count="3">
          <reference field="1" count="1" selected="0">
            <x v="51"/>
          </reference>
          <reference field="2" count="2">
            <x v="1"/>
            <x v="3"/>
          </reference>
          <reference field="9" count="1" selected="0">
            <x v="0"/>
          </reference>
        </references>
      </pivotArea>
    </format>
    <format dxfId="264">
      <pivotArea dataOnly="0" labelOnly="1" outline="0" fieldPosition="0">
        <references count="3">
          <reference field="1" count="1" selected="0">
            <x v="56"/>
          </reference>
          <reference field="2" count="4">
            <x v="0"/>
            <x v="1"/>
            <x v="2"/>
            <x v="3"/>
          </reference>
          <reference field="9" count="1" selected="0">
            <x v="0"/>
          </reference>
        </references>
      </pivotArea>
    </format>
    <format dxfId="263">
      <pivotArea dataOnly="0" labelOnly="1" outline="0" fieldPosition="0">
        <references count="3">
          <reference field="1" count="1" selected="0">
            <x v="57"/>
          </reference>
          <reference field="2" count="7">
            <x v="0"/>
            <x v="1"/>
            <x v="2"/>
            <x v="3"/>
            <x v="4"/>
            <x v="5"/>
            <x v="7"/>
          </reference>
          <reference field="9" count="1" selected="0">
            <x v="0"/>
          </reference>
        </references>
      </pivotArea>
    </format>
    <format dxfId="262">
      <pivotArea dataOnly="0" labelOnly="1" outline="0" fieldPosition="0">
        <references count="3">
          <reference field="1" count="1" selected="0">
            <x v="58"/>
          </reference>
          <reference field="2" count="1">
            <x v="1"/>
          </reference>
          <reference field="9" count="1" selected="0">
            <x v="0"/>
          </reference>
        </references>
      </pivotArea>
    </format>
    <format dxfId="261">
      <pivotArea dataOnly="0" labelOnly="1" outline="0" fieldPosition="0">
        <references count="3">
          <reference field="1" count="1" selected="0">
            <x v="59"/>
          </reference>
          <reference field="2" count="1">
            <x v="9"/>
          </reference>
          <reference field="9" count="1" selected="0">
            <x v="0"/>
          </reference>
        </references>
      </pivotArea>
    </format>
    <format dxfId="260">
      <pivotArea dataOnly="0" labelOnly="1" outline="0" fieldPosition="0">
        <references count="3">
          <reference field="1" count="1" selected="0">
            <x v="62"/>
          </reference>
          <reference field="2" count="1">
            <x v="0"/>
          </reference>
          <reference field="9" count="1" selected="0">
            <x v="0"/>
          </reference>
        </references>
      </pivotArea>
    </format>
    <format dxfId="259">
      <pivotArea dataOnly="0" labelOnly="1" outline="0" fieldPosition="0">
        <references count="3">
          <reference field="1" count="1" selected="0">
            <x v="66"/>
          </reference>
          <reference field="2" count="6">
            <x v="0"/>
            <x v="1"/>
            <x v="2"/>
            <x v="3"/>
            <x v="4"/>
            <x v="5"/>
          </reference>
          <reference field="9" count="1" selected="0">
            <x v="0"/>
          </reference>
        </references>
      </pivotArea>
    </format>
    <format dxfId="258">
      <pivotArea dataOnly="0" labelOnly="1" outline="0" fieldPosition="0">
        <references count="3">
          <reference field="1" count="1" selected="0">
            <x v="70"/>
          </reference>
          <reference field="2" count="4">
            <x v="0"/>
            <x v="1"/>
            <x v="2"/>
            <x v="3"/>
          </reference>
          <reference field="9" count="1" selected="0">
            <x v="0"/>
          </reference>
        </references>
      </pivotArea>
    </format>
    <format dxfId="257">
      <pivotArea dataOnly="0" labelOnly="1" outline="0" fieldPosition="0">
        <references count="3">
          <reference field="1" count="1" selected="0">
            <x v="71"/>
          </reference>
          <reference field="2" count="6">
            <x v="0"/>
            <x v="1"/>
            <x v="2"/>
            <x v="3"/>
            <x v="5"/>
            <x v="7"/>
          </reference>
          <reference field="9" count="1" selected="0">
            <x v="0"/>
          </reference>
        </references>
      </pivotArea>
    </format>
    <format dxfId="256">
      <pivotArea dataOnly="0" labelOnly="1" outline="0" fieldPosition="0">
        <references count="3">
          <reference field="1" count="1" selected="0">
            <x v="72"/>
          </reference>
          <reference field="2" count="6">
            <x v="0"/>
            <x v="1"/>
            <x v="2"/>
            <x v="3"/>
            <x v="4"/>
            <x v="9"/>
          </reference>
          <reference field="9" count="1" selected="0">
            <x v="0"/>
          </reference>
        </references>
      </pivotArea>
    </format>
    <format dxfId="255">
      <pivotArea dataOnly="0" labelOnly="1" outline="0" fieldPosition="0">
        <references count="3">
          <reference field="1" count="1" selected="0">
            <x v="75"/>
          </reference>
          <reference field="2" count="3">
            <x v="0"/>
            <x v="1"/>
            <x v="3"/>
          </reference>
          <reference field="9" count="1" selected="0">
            <x v="0"/>
          </reference>
        </references>
      </pivotArea>
    </format>
    <format dxfId="254">
      <pivotArea dataOnly="0" labelOnly="1" outline="0" fieldPosition="0">
        <references count="3">
          <reference field="1" count="1" selected="0">
            <x v="79"/>
          </reference>
          <reference field="2" count="2">
            <x v="0"/>
            <x v="2"/>
          </reference>
          <reference field="9" count="1" selected="0">
            <x v="0"/>
          </reference>
        </references>
      </pivotArea>
    </format>
    <format dxfId="253">
      <pivotArea dataOnly="0" labelOnly="1" outline="0" fieldPosition="0">
        <references count="3">
          <reference field="1" count="1" selected="0">
            <x v="86"/>
          </reference>
          <reference field="2" count="1">
            <x v="0"/>
          </reference>
          <reference field="9" count="1" selected="0">
            <x v="0"/>
          </reference>
        </references>
      </pivotArea>
    </format>
    <format dxfId="252">
      <pivotArea dataOnly="0" labelOnly="1" outline="0" fieldPosition="0">
        <references count="3">
          <reference field="1" count="1" selected="0">
            <x v="89"/>
          </reference>
          <reference field="2" count="3">
            <x v="0"/>
            <x v="1"/>
            <x v="3"/>
          </reference>
          <reference field="9" count="1" selected="0">
            <x v="0"/>
          </reference>
        </references>
      </pivotArea>
    </format>
    <format dxfId="251">
      <pivotArea dataOnly="0" labelOnly="1" outline="0" fieldPosition="0">
        <references count="3">
          <reference field="1" count="1" selected="0">
            <x v="90"/>
          </reference>
          <reference field="2" count="1">
            <x v="2"/>
          </reference>
          <reference field="9" count="1" selected="0">
            <x v="0"/>
          </reference>
        </references>
      </pivotArea>
    </format>
    <format dxfId="250">
      <pivotArea dataOnly="0" labelOnly="1" outline="0" fieldPosition="0">
        <references count="3">
          <reference field="1" count="1" selected="0">
            <x v="91"/>
          </reference>
          <reference field="2" count="4">
            <x v="0"/>
            <x v="1"/>
            <x v="2"/>
            <x v="3"/>
          </reference>
          <reference field="9" count="1" selected="0">
            <x v="0"/>
          </reference>
        </references>
      </pivotArea>
    </format>
    <format dxfId="249">
      <pivotArea dataOnly="0" labelOnly="1" outline="0" fieldPosition="0">
        <references count="3">
          <reference field="1" count="1" selected="0">
            <x v="95"/>
          </reference>
          <reference field="2" count="4">
            <x v="0"/>
            <x v="1"/>
            <x v="2"/>
            <x v="3"/>
          </reference>
          <reference field="9" count="1" selected="0">
            <x v="0"/>
          </reference>
        </references>
      </pivotArea>
    </format>
    <format dxfId="248">
      <pivotArea dataOnly="0" labelOnly="1" outline="0" fieldPosition="0">
        <references count="3">
          <reference field="1" count="1" selected="0">
            <x v="96"/>
          </reference>
          <reference field="2" count="2">
            <x v="0"/>
            <x v="2"/>
          </reference>
          <reference field="9" count="1" selected="0">
            <x v="0"/>
          </reference>
        </references>
      </pivotArea>
    </format>
    <format dxfId="247">
      <pivotArea dataOnly="0" labelOnly="1" outline="0" fieldPosition="0">
        <references count="3">
          <reference field="1" count="1" selected="0">
            <x v="103"/>
          </reference>
          <reference field="2" count="6">
            <x v="0"/>
            <x v="1"/>
            <x v="2"/>
            <x v="3"/>
            <x v="4"/>
            <x v="7"/>
          </reference>
          <reference field="9" count="1" selected="0">
            <x v="0"/>
          </reference>
        </references>
      </pivotArea>
    </format>
    <format dxfId="246">
      <pivotArea dataOnly="0" labelOnly="1" outline="0" fieldPosition="0">
        <references count="3">
          <reference field="1" count="1" selected="0">
            <x v="106"/>
          </reference>
          <reference field="2" count="6">
            <x v="0"/>
            <x v="1"/>
            <x v="2"/>
            <x v="3"/>
            <x v="4"/>
            <x v="5"/>
          </reference>
          <reference field="9" count="1" selected="0">
            <x v="0"/>
          </reference>
        </references>
      </pivotArea>
    </format>
    <format dxfId="245">
      <pivotArea dataOnly="0" labelOnly="1" outline="0" fieldPosition="0">
        <references count="3">
          <reference field="1" count="1" selected="0">
            <x v="0"/>
          </reference>
          <reference field="2" count="5">
            <x v="0"/>
            <x v="1"/>
            <x v="3"/>
            <x v="5"/>
            <x v="7"/>
          </reference>
          <reference field="9" count="1" selected="0">
            <x v="1"/>
          </reference>
        </references>
      </pivotArea>
    </format>
    <format dxfId="244">
      <pivotArea dataOnly="0" labelOnly="1" outline="0" fieldPosition="0">
        <references count="3">
          <reference field="1" count="1" selected="0">
            <x v="2"/>
          </reference>
          <reference field="2" count="1">
            <x v="2"/>
          </reference>
          <reference field="9" count="1" selected="0">
            <x v="1"/>
          </reference>
        </references>
      </pivotArea>
    </format>
    <format dxfId="243">
      <pivotArea dataOnly="0" labelOnly="1" outline="0" fieldPosition="0">
        <references count="3">
          <reference field="1" count="1" selected="0">
            <x v="7"/>
          </reference>
          <reference field="2" count="1">
            <x v="1"/>
          </reference>
          <reference field="9" count="1" selected="0">
            <x v="1"/>
          </reference>
        </references>
      </pivotArea>
    </format>
    <format dxfId="242">
      <pivotArea dataOnly="0" labelOnly="1" outline="0" fieldPosition="0">
        <references count="3">
          <reference field="1" count="1" selected="0">
            <x v="8"/>
          </reference>
          <reference field="2" count="4">
            <x v="0"/>
            <x v="1"/>
            <x v="2"/>
            <x v="3"/>
          </reference>
          <reference field="9" count="1" selected="0">
            <x v="1"/>
          </reference>
        </references>
      </pivotArea>
    </format>
    <format dxfId="241">
      <pivotArea dataOnly="0" labelOnly="1" outline="0" fieldPosition="0">
        <references count="3">
          <reference field="1" count="1" selected="0">
            <x v="10"/>
          </reference>
          <reference field="2" count="2">
            <x v="0"/>
            <x v="1"/>
          </reference>
          <reference field="9" count="1" selected="0">
            <x v="1"/>
          </reference>
        </references>
      </pivotArea>
    </format>
    <format dxfId="240">
      <pivotArea dataOnly="0" labelOnly="1" outline="0" fieldPosition="0">
        <references count="3">
          <reference field="1" count="1" selected="0">
            <x v="12"/>
          </reference>
          <reference field="2" count="2">
            <x v="0"/>
            <x v="2"/>
          </reference>
          <reference field="9" count="1" selected="0">
            <x v="1"/>
          </reference>
        </references>
      </pivotArea>
    </format>
    <format dxfId="239">
      <pivotArea dataOnly="0" labelOnly="1" outline="0" fieldPosition="0">
        <references count="3">
          <reference field="1" count="1" selected="0">
            <x v="14"/>
          </reference>
          <reference field="2" count="3">
            <x v="6"/>
            <x v="8"/>
            <x v="9"/>
          </reference>
          <reference field="9" count="1" selected="0">
            <x v="1"/>
          </reference>
        </references>
      </pivotArea>
    </format>
    <format dxfId="238">
      <pivotArea dataOnly="0" labelOnly="1" outline="0" fieldPosition="0">
        <references count="3">
          <reference field="1" count="1" selected="0">
            <x v="15"/>
          </reference>
          <reference field="2" count="10">
            <x v="0"/>
            <x v="1"/>
            <x v="2"/>
            <x v="3"/>
            <x v="4"/>
            <x v="5"/>
            <x v="7"/>
            <x v="10"/>
            <x v="12"/>
            <x v="13"/>
          </reference>
          <reference field="9" count="1" selected="0">
            <x v="1"/>
          </reference>
        </references>
      </pivotArea>
    </format>
    <format dxfId="237">
      <pivotArea dataOnly="0" labelOnly="1" outline="0" fieldPosition="0">
        <references count="3">
          <reference field="1" count="1" selected="0">
            <x v="18"/>
          </reference>
          <reference field="2" count="3">
            <x v="0"/>
            <x v="1"/>
            <x v="3"/>
          </reference>
          <reference field="9" count="1" selected="0">
            <x v="1"/>
          </reference>
        </references>
      </pivotArea>
    </format>
    <format dxfId="236">
      <pivotArea dataOnly="0" labelOnly="1" outline="0" fieldPosition="0">
        <references count="3">
          <reference field="1" count="1" selected="0">
            <x v="22"/>
          </reference>
          <reference field="2" count="2">
            <x v="1"/>
            <x v="3"/>
          </reference>
          <reference field="9" count="1" selected="0">
            <x v="1"/>
          </reference>
        </references>
      </pivotArea>
    </format>
    <format dxfId="235">
      <pivotArea dataOnly="0" labelOnly="1" outline="0" fieldPosition="0">
        <references count="3">
          <reference field="1" count="1" selected="0">
            <x v="38"/>
          </reference>
          <reference field="2" count="4">
            <x v="0"/>
            <x v="1"/>
            <x v="2"/>
            <x v="3"/>
          </reference>
          <reference field="9" count="1" selected="0">
            <x v="1"/>
          </reference>
        </references>
      </pivotArea>
    </format>
    <format dxfId="234">
      <pivotArea dataOnly="0" labelOnly="1" outline="0" fieldPosition="0">
        <references count="3">
          <reference field="1" count="1" selected="0">
            <x v="44"/>
          </reference>
          <reference field="2" count="1">
            <x v="0"/>
          </reference>
          <reference field="9" count="1" selected="0">
            <x v="1"/>
          </reference>
        </references>
      </pivotArea>
    </format>
    <format dxfId="233">
      <pivotArea dataOnly="0" labelOnly="1" outline="0" fieldPosition="0">
        <references count="3">
          <reference field="1" count="1" selected="0">
            <x v="46"/>
          </reference>
          <reference field="2" count="11">
            <x v="0"/>
            <x v="1"/>
            <x v="2"/>
            <x v="3"/>
            <x v="4"/>
            <x v="5"/>
            <x v="6"/>
            <x v="9"/>
            <x v="10"/>
            <x v="12"/>
            <x v="13"/>
          </reference>
          <reference field="9" count="1" selected="0">
            <x v="1"/>
          </reference>
        </references>
      </pivotArea>
    </format>
    <format dxfId="232">
      <pivotArea dataOnly="0" labelOnly="1" outline="0" fieldPosition="0">
        <references count="3">
          <reference field="1" count="1" selected="0">
            <x v="47"/>
          </reference>
          <reference field="2" count="5">
            <x v="0"/>
            <x v="1"/>
            <x v="2"/>
            <x v="3"/>
            <x v="5"/>
          </reference>
          <reference field="9" count="1" selected="0">
            <x v="1"/>
          </reference>
        </references>
      </pivotArea>
    </format>
    <format dxfId="231">
      <pivotArea dataOnly="0" labelOnly="1" outline="0" fieldPosition="0">
        <references count="3">
          <reference field="1" count="1" selected="0">
            <x v="49"/>
          </reference>
          <reference field="2" count="4">
            <x v="0"/>
            <x v="1"/>
            <x v="3"/>
            <x v="9"/>
          </reference>
          <reference field="9" count="1" selected="0">
            <x v="1"/>
          </reference>
        </references>
      </pivotArea>
    </format>
    <format dxfId="230">
      <pivotArea dataOnly="0" labelOnly="1" outline="0" fieldPosition="0">
        <references count="3">
          <reference field="1" count="1" selected="0">
            <x v="50"/>
          </reference>
          <reference field="2" count="4">
            <x v="0"/>
            <x v="1"/>
            <x v="2"/>
            <x v="3"/>
          </reference>
          <reference field="9" count="1" selected="0">
            <x v="1"/>
          </reference>
        </references>
      </pivotArea>
    </format>
    <format dxfId="229">
      <pivotArea dataOnly="0" labelOnly="1" outline="0" fieldPosition="0">
        <references count="3">
          <reference field="1" count="1" selected="0">
            <x v="60"/>
          </reference>
          <reference field="2" count="11">
            <x v="0"/>
            <x v="1"/>
            <x v="2"/>
            <x v="3"/>
            <x v="4"/>
            <x v="5"/>
            <x v="6"/>
            <x v="7"/>
            <x v="8"/>
            <x v="9"/>
            <x v="13"/>
          </reference>
          <reference field="9" count="1" selected="0">
            <x v="1"/>
          </reference>
        </references>
      </pivotArea>
    </format>
    <format dxfId="228">
      <pivotArea dataOnly="0" labelOnly="1" outline="0" fieldPosition="0">
        <references count="3">
          <reference field="1" count="1" selected="0">
            <x v="63"/>
          </reference>
          <reference field="2" count="5">
            <x v="0"/>
            <x v="1"/>
            <x v="2"/>
            <x v="3"/>
            <x v="5"/>
          </reference>
          <reference field="9" count="1" selected="0">
            <x v="1"/>
          </reference>
        </references>
      </pivotArea>
    </format>
    <format dxfId="227">
      <pivotArea dataOnly="0" labelOnly="1" outline="0" fieldPosition="0">
        <references count="3">
          <reference field="1" count="1" selected="0">
            <x v="68"/>
          </reference>
          <reference field="2" count="9">
            <x v="1"/>
            <x v="3"/>
            <x v="4"/>
            <x v="5"/>
            <x v="6"/>
            <x v="7"/>
            <x v="8"/>
            <x v="9"/>
            <x v="13"/>
          </reference>
          <reference field="9" count="1" selected="0">
            <x v="1"/>
          </reference>
        </references>
      </pivotArea>
    </format>
    <format dxfId="226">
      <pivotArea dataOnly="0" labelOnly="1" outline="0" fieldPosition="0">
        <references count="3">
          <reference field="1" count="1" selected="0">
            <x v="81"/>
          </reference>
          <reference field="2" count="5">
            <x v="0"/>
            <x v="1"/>
            <x v="2"/>
            <x v="3"/>
            <x v="7"/>
          </reference>
          <reference field="9" count="1" selected="0">
            <x v="1"/>
          </reference>
        </references>
      </pivotArea>
    </format>
    <format dxfId="225">
      <pivotArea dataOnly="0" labelOnly="1" outline="0" fieldPosition="0">
        <references count="3">
          <reference field="1" count="1" selected="0">
            <x v="82"/>
          </reference>
          <reference field="2" count="4">
            <x v="0"/>
            <x v="1"/>
            <x v="2"/>
            <x v="9"/>
          </reference>
          <reference field="9" count="1" selected="0">
            <x v="1"/>
          </reference>
        </references>
      </pivotArea>
    </format>
    <format dxfId="224">
      <pivotArea dataOnly="0" labelOnly="1" outline="0" fieldPosition="0">
        <references count="3">
          <reference field="1" count="1" selected="0">
            <x v="84"/>
          </reference>
          <reference field="2" count="1">
            <x v="0"/>
          </reference>
          <reference field="9" count="1" selected="0">
            <x v="1"/>
          </reference>
        </references>
      </pivotArea>
    </format>
    <format dxfId="223">
      <pivotArea dataOnly="0" labelOnly="1" outline="0" fieldPosition="0">
        <references count="3">
          <reference field="1" count="1" selected="0">
            <x v="85"/>
          </reference>
          <reference field="2" count="4">
            <x v="0"/>
            <x v="1"/>
            <x v="2"/>
            <x v="3"/>
          </reference>
          <reference field="9" count="1" selected="0">
            <x v="1"/>
          </reference>
        </references>
      </pivotArea>
    </format>
    <format dxfId="222">
      <pivotArea dataOnly="0" labelOnly="1" outline="0" fieldPosition="0">
        <references count="3">
          <reference field="1" count="1" selected="0">
            <x v="94"/>
          </reference>
          <reference field="2" count="7">
            <x v="0"/>
            <x v="1"/>
            <x v="2"/>
            <x v="3"/>
            <x v="4"/>
            <x v="7"/>
            <x v="8"/>
          </reference>
          <reference field="9" count="1" selected="0">
            <x v="1"/>
          </reference>
        </references>
      </pivotArea>
    </format>
    <format dxfId="221">
      <pivotArea dataOnly="0" labelOnly="1" outline="0" fieldPosition="0">
        <references count="3">
          <reference field="1" count="1" selected="0">
            <x v="98"/>
          </reference>
          <reference field="2" count="5">
            <x v="0"/>
            <x v="1"/>
            <x v="2"/>
            <x v="3"/>
            <x v="4"/>
          </reference>
          <reference field="9" count="1" selected="0">
            <x v="1"/>
          </reference>
        </references>
      </pivotArea>
    </format>
    <format dxfId="220">
      <pivotArea dataOnly="0" labelOnly="1" outline="0" fieldPosition="0">
        <references count="3">
          <reference field="1" count="1" selected="0">
            <x v="101"/>
          </reference>
          <reference field="2" count="2">
            <x v="0"/>
            <x v="1"/>
          </reference>
          <reference field="9" count="1" selected="0">
            <x v="1"/>
          </reference>
        </references>
      </pivotArea>
    </format>
    <format dxfId="219">
      <pivotArea dataOnly="0" labelOnly="1" outline="0" fieldPosition="0">
        <references count="3">
          <reference field="1" count="1" selected="0">
            <x v="107"/>
          </reference>
          <reference field="2" count="1">
            <x v="0"/>
          </reference>
          <reference field="9" count="1" selected="0">
            <x v="1"/>
          </reference>
        </references>
      </pivotArea>
    </format>
    <format dxfId="218">
      <pivotArea dataOnly="0" labelOnly="1" outline="0" fieldPosition="0">
        <references count="3">
          <reference field="1" count="1" selected="0">
            <x v="108"/>
          </reference>
          <reference field="2" count="2">
            <x v="0"/>
            <x v="1"/>
          </reference>
          <reference field="9" count="1" selected="0">
            <x v="1"/>
          </reference>
        </references>
      </pivotArea>
    </format>
    <format dxfId="217">
      <pivotArea dataOnly="0" labelOnly="1" outline="0" fieldPosition="0">
        <references count="3">
          <reference field="1" count="1" selected="0">
            <x v="3"/>
          </reference>
          <reference field="2" count="1">
            <x v="0"/>
          </reference>
          <reference field="9" count="1" selected="0">
            <x v="2"/>
          </reference>
        </references>
      </pivotArea>
    </format>
    <format dxfId="216">
      <pivotArea dataOnly="0" labelOnly="1" outline="0" fieldPosition="0">
        <references count="3">
          <reference field="1" count="1" selected="0">
            <x v="4"/>
          </reference>
          <reference field="2" count="1">
            <x v="1"/>
          </reference>
          <reference field="9" count="1" selected="0">
            <x v="2"/>
          </reference>
        </references>
      </pivotArea>
    </format>
    <format dxfId="215">
      <pivotArea dataOnly="0" labelOnly="1" outline="0" fieldPosition="0">
        <references count="3">
          <reference field="1" count="1" selected="0">
            <x v="5"/>
          </reference>
          <reference field="2" count="2">
            <x v="0"/>
            <x v="3"/>
          </reference>
          <reference field="9" count="1" selected="0">
            <x v="2"/>
          </reference>
        </references>
      </pivotArea>
    </format>
    <format dxfId="214">
      <pivotArea dataOnly="0" labelOnly="1" outline="0" fieldPosition="0">
        <references count="3">
          <reference field="1" count="1" selected="0">
            <x v="9"/>
          </reference>
          <reference field="2" count="4">
            <x v="0"/>
            <x v="1"/>
            <x v="2"/>
            <x v="3"/>
          </reference>
          <reference field="9" count="1" selected="0">
            <x v="2"/>
          </reference>
        </references>
      </pivotArea>
    </format>
    <format dxfId="213">
      <pivotArea dataOnly="0" labelOnly="1" outline="0" fieldPosition="0">
        <references count="3">
          <reference field="1" count="1" selected="0">
            <x v="11"/>
          </reference>
          <reference field="2" count="1">
            <x v="2"/>
          </reference>
          <reference field="9" count="1" selected="0">
            <x v="2"/>
          </reference>
        </references>
      </pivotArea>
    </format>
    <format dxfId="212">
      <pivotArea dataOnly="0" labelOnly="1" outline="0" fieldPosition="0">
        <references count="3">
          <reference field="1" count="1" selected="0">
            <x v="17"/>
          </reference>
          <reference field="2" count="4">
            <x v="0"/>
            <x v="1"/>
            <x v="2"/>
            <x v="3"/>
          </reference>
          <reference field="9" count="1" selected="0">
            <x v="2"/>
          </reference>
        </references>
      </pivotArea>
    </format>
    <format dxfId="211">
      <pivotArea dataOnly="0" labelOnly="1" outline="0" fieldPosition="0">
        <references count="3">
          <reference field="1" count="1" selected="0">
            <x v="20"/>
          </reference>
          <reference field="2" count="4">
            <x v="0"/>
            <x v="1"/>
            <x v="2"/>
            <x v="3"/>
          </reference>
          <reference field="9" count="1" selected="0">
            <x v="2"/>
          </reference>
        </references>
      </pivotArea>
    </format>
    <format dxfId="210">
      <pivotArea dataOnly="0" labelOnly="1" outline="0" fieldPosition="0">
        <references count="3">
          <reference field="1" count="1" selected="0">
            <x v="21"/>
          </reference>
          <reference field="2" count="1">
            <x v="1"/>
          </reference>
          <reference field="9" count="1" selected="0">
            <x v="2"/>
          </reference>
        </references>
      </pivotArea>
    </format>
    <format dxfId="209">
      <pivotArea dataOnly="0" labelOnly="1" outline="0" fieldPosition="0">
        <references count="3">
          <reference field="1" count="1" selected="0">
            <x v="23"/>
          </reference>
          <reference field="2" count="9">
            <x v="0"/>
            <x v="1"/>
            <x v="2"/>
            <x v="3"/>
            <x v="4"/>
            <x v="5"/>
            <x v="6"/>
            <x v="9"/>
            <x v="13"/>
          </reference>
          <reference field="9" count="1" selected="0">
            <x v="2"/>
          </reference>
        </references>
      </pivotArea>
    </format>
    <format dxfId="208">
      <pivotArea dataOnly="0" labelOnly="1" outline="0" fieldPosition="0">
        <references count="3">
          <reference field="1" count="1" selected="0">
            <x v="25"/>
          </reference>
          <reference field="2" count="1">
            <x v="3"/>
          </reference>
          <reference field="9" count="1" selected="0">
            <x v="2"/>
          </reference>
        </references>
      </pivotArea>
    </format>
    <format dxfId="207">
      <pivotArea dataOnly="0" labelOnly="1" outline="0" fieldPosition="0">
        <references count="3">
          <reference field="1" count="1" selected="0">
            <x v="26"/>
          </reference>
          <reference field="2" count="6">
            <x v="0"/>
            <x v="1"/>
            <x v="2"/>
            <x v="3"/>
            <x v="5"/>
            <x v="9"/>
          </reference>
          <reference field="9" count="1" selected="0">
            <x v="2"/>
          </reference>
        </references>
      </pivotArea>
    </format>
    <format dxfId="206">
      <pivotArea dataOnly="0" labelOnly="1" outline="0" fieldPosition="0">
        <references count="3">
          <reference field="1" count="1" selected="0">
            <x v="29"/>
          </reference>
          <reference field="2" count="3">
            <x v="0"/>
            <x v="1"/>
            <x v="3"/>
          </reference>
          <reference field="9" count="1" selected="0">
            <x v="2"/>
          </reference>
        </references>
      </pivotArea>
    </format>
    <format dxfId="205">
      <pivotArea dataOnly="0" labelOnly="1" outline="0" fieldPosition="0">
        <references count="3">
          <reference field="1" count="1" selected="0">
            <x v="31"/>
          </reference>
          <reference field="2" count="3">
            <x v="1"/>
            <x v="2"/>
            <x v="3"/>
          </reference>
          <reference field="9" count="1" selected="0">
            <x v="2"/>
          </reference>
        </references>
      </pivotArea>
    </format>
    <format dxfId="204">
      <pivotArea dataOnly="0" labelOnly="1" outline="0" fieldPosition="0">
        <references count="3">
          <reference field="1" count="1" selected="0">
            <x v="34"/>
          </reference>
          <reference field="2" count="4">
            <x v="0"/>
            <x v="1"/>
            <x v="2"/>
            <x v="3"/>
          </reference>
          <reference field="9" count="1" selected="0">
            <x v="2"/>
          </reference>
        </references>
      </pivotArea>
    </format>
    <format dxfId="203">
      <pivotArea dataOnly="0" labelOnly="1" outline="0" fieldPosition="0">
        <references count="3">
          <reference field="1" count="1" selected="0">
            <x v="36"/>
          </reference>
          <reference field="2" count="2">
            <x v="1"/>
            <x v="3"/>
          </reference>
          <reference field="9" count="1" selected="0">
            <x v="2"/>
          </reference>
        </references>
      </pivotArea>
    </format>
    <format dxfId="202">
      <pivotArea dataOnly="0" labelOnly="1" outline="0" fieldPosition="0">
        <references count="3">
          <reference field="1" count="1" selected="0">
            <x v="37"/>
          </reference>
          <reference field="2" count="4">
            <x v="0"/>
            <x v="1"/>
            <x v="2"/>
            <x v="3"/>
          </reference>
          <reference field="9" count="1" selected="0">
            <x v="2"/>
          </reference>
        </references>
      </pivotArea>
    </format>
    <format dxfId="201">
      <pivotArea dataOnly="0" labelOnly="1" outline="0" fieldPosition="0">
        <references count="3">
          <reference field="1" count="1" selected="0">
            <x v="40"/>
          </reference>
          <reference field="2" count="3">
            <x v="1"/>
            <x v="2"/>
            <x v="3"/>
          </reference>
          <reference field="9" count="1" selected="0">
            <x v="2"/>
          </reference>
        </references>
      </pivotArea>
    </format>
    <format dxfId="200">
      <pivotArea dataOnly="0" labelOnly="1" outline="0" fieldPosition="0">
        <references count="3">
          <reference field="1" count="1" selected="0">
            <x v="41"/>
          </reference>
          <reference field="2" count="1">
            <x v="0"/>
          </reference>
          <reference field="9" count="1" selected="0">
            <x v="2"/>
          </reference>
        </references>
      </pivotArea>
    </format>
    <format dxfId="199">
      <pivotArea dataOnly="0" labelOnly="1" outline="0" fieldPosition="0">
        <references count="3">
          <reference field="1" count="1" selected="0">
            <x v="42"/>
          </reference>
          <reference field="2" count="6">
            <x v="0"/>
            <x v="1"/>
            <x v="2"/>
            <x v="3"/>
            <x v="5"/>
            <x v="7"/>
          </reference>
          <reference field="9" count="1" selected="0">
            <x v="2"/>
          </reference>
        </references>
      </pivotArea>
    </format>
    <format dxfId="198">
      <pivotArea dataOnly="0" labelOnly="1" outline="0" fieldPosition="0">
        <references count="3">
          <reference field="1" count="1" selected="0">
            <x v="43"/>
          </reference>
          <reference field="2" count="7">
            <x v="0"/>
            <x v="1"/>
            <x v="2"/>
            <x v="3"/>
            <x v="4"/>
            <x v="7"/>
            <x v="8"/>
          </reference>
          <reference field="9" count="1" selected="0">
            <x v="2"/>
          </reference>
        </references>
      </pivotArea>
    </format>
    <format dxfId="197">
      <pivotArea dataOnly="0" labelOnly="1" outline="0" fieldPosition="0">
        <references count="3">
          <reference field="1" count="1" selected="0">
            <x v="45"/>
          </reference>
          <reference field="2" count="5">
            <x v="0"/>
            <x v="1"/>
            <x v="2"/>
            <x v="3"/>
            <x v="5"/>
          </reference>
          <reference field="9" count="1" selected="0">
            <x v="2"/>
          </reference>
        </references>
      </pivotArea>
    </format>
    <format dxfId="196">
      <pivotArea dataOnly="0" labelOnly="1" outline="0" fieldPosition="0">
        <references count="3">
          <reference field="1" count="1" selected="0">
            <x v="48"/>
          </reference>
          <reference field="2" count="8">
            <x v="0"/>
            <x v="1"/>
            <x v="2"/>
            <x v="3"/>
            <x v="4"/>
            <x v="5"/>
            <x v="7"/>
            <x v="9"/>
          </reference>
          <reference field="9" count="1" selected="0">
            <x v="2"/>
          </reference>
        </references>
      </pivotArea>
    </format>
    <format dxfId="195">
      <pivotArea dataOnly="0" labelOnly="1" outline="0" fieldPosition="0">
        <references count="3">
          <reference field="1" count="1" selected="0">
            <x v="49"/>
          </reference>
          <reference field="2" count="4">
            <x v="0"/>
            <x v="1"/>
            <x v="2"/>
            <x v="3"/>
          </reference>
          <reference field="9" count="1" selected="0">
            <x v="2"/>
          </reference>
        </references>
      </pivotArea>
    </format>
    <format dxfId="194">
      <pivotArea dataOnly="0" labelOnly="1" outline="0" fieldPosition="0">
        <references count="3">
          <reference field="1" count="1" selected="0">
            <x v="52"/>
          </reference>
          <reference field="2" count="2">
            <x v="1"/>
            <x v="3"/>
          </reference>
          <reference field="9" count="1" selected="0">
            <x v="2"/>
          </reference>
        </references>
      </pivotArea>
    </format>
    <format dxfId="193">
      <pivotArea dataOnly="0" labelOnly="1" outline="0" fieldPosition="0">
        <references count="3">
          <reference field="1" count="1" selected="0">
            <x v="53"/>
          </reference>
          <reference field="2" count="3">
            <x v="0"/>
            <x v="1"/>
            <x v="3"/>
          </reference>
          <reference field="9" count="1" selected="0">
            <x v="2"/>
          </reference>
        </references>
      </pivotArea>
    </format>
    <format dxfId="192">
      <pivotArea dataOnly="0" labelOnly="1" outline="0" fieldPosition="0">
        <references count="3">
          <reference field="1" count="1" selected="0">
            <x v="54"/>
          </reference>
          <reference field="2" count="6">
            <x v="0"/>
            <x v="1"/>
            <x v="2"/>
            <x v="3"/>
            <x v="4"/>
            <x v="7"/>
          </reference>
          <reference field="9" count="1" selected="0">
            <x v="2"/>
          </reference>
        </references>
      </pivotArea>
    </format>
    <format dxfId="191">
      <pivotArea dataOnly="0" labelOnly="1" outline="0" fieldPosition="0">
        <references count="3">
          <reference field="1" count="1" selected="0">
            <x v="55"/>
          </reference>
          <reference field="2" count="5">
            <x v="0"/>
            <x v="1"/>
            <x v="2"/>
            <x v="3"/>
            <x v="5"/>
          </reference>
          <reference field="9" count="1" selected="0">
            <x v="2"/>
          </reference>
        </references>
      </pivotArea>
    </format>
    <format dxfId="190">
      <pivotArea dataOnly="0" labelOnly="1" outline="0" fieldPosition="0">
        <references count="3">
          <reference field="1" count="1" selected="0">
            <x v="61"/>
          </reference>
          <reference field="2" count="6">
            <x v="0"/>
            <x v="1"/>
            <x v="2"/>
            <x v="3"/>
            <x v="5"/>
            <x v="7"/>
          </reference>
          <reference field="9" count="1" selected="0">
            <x v="2"/>
          </reference>
        </references>
      </pivotArea>
    </format>
    <format dxfId="189">
      <pivotArea dataOnly="0" labelOnly="1" outline="0" fieldPosition="0">
        <references count="3">
          <reference field="1" count="1" selected="0">
            <x v="64"/>
          </reference>
          <reference field="2" count="8">
            <x v="0"/>
            <x v="1"/>
            <x v="2"/>
            <x v="3"/>
            <x v="4"/>
            <x v="5"/>
            <x v="7"/>
            <x v="13"/>
          </reference>
          <reference field="9" count="1" selected="0">
            <x v="2"/>
          </reference>
        </references>
      </pivotArea>
    </format>
    <format dxfId="188">
      <pivotArea dataOnly="0" labelOnly="1" outline="0" fieldPosition="0">
        <references count="3">
          <reference field="1" count="1" selected="0">
            <x v="65"/>
          </reference>
          <reference field="2" count="0"/>
          <reference field="9" count="1" selected="0">
            <x v="2"/>
          </reference>
        </references>
      </pivotArea>
    </format>
    <format dxfId="187">
      <pivotArea dataOnly="0" labelOnly="1" outline="0" fieldPosition="0">
        <references count="3">
          <reference field="1" count="1" selected="0">
            <x v="67"/>
          </reference>
          <reference field="2" count="1">
            <x v="6"/>
          </reference>
          <reference field="9" count="1" selected="0">
            <x v="2"/>
          </reference>
        </references>
      </pivotArea>
    </format>
    <format dxfId="186">
      <pivotArea dataOnly="0" labelOnly="1" outline="0" fieldPosition="0">
        <references count="3">
          <reference field="1" count="1" selected="0">
            <x v="69"/>
          </reference>
          <reference field="2" count="8">
            <x v="0"/>
            <x v="1"/>
            <x v="2"/>
            <x v="3"/>
            <x v="4"/>
            <x v="5"/>
            <x v="6"/>
            <x v="7"/>
          </reference>
          <reference field="9" count="1" selected="0">
            <x v="2"/>
          </reference>
        </references>
      </pivotArea>
    </format>
    <format dxfId="185">
      <pivotArea dataOnly="0" labelOnly="1" outline="0" fieldPosition="0">
        <references count="3">
          <reference field="1" count="1" selected="0">
            <x v="73"/>
          </reference>
          <reference field="2" count="1">
            <x v="0"/>
          </reference>
          <reference field="9" count="1" selected="0">
            <x v="2"/>
          </reference>
        </references>
      </pivotArea>
    </format>
    <format dxfId="184">
      <pivotArea dataOnly="0" labelOnly="1" outline="0" fieldPosition="0">
        <references count="3">
          <reference field="1" count="1" selected="0">
            <x v="74"/>
          </reference>
          <reference field="2" count="4">
            <x v="0"/>
            <x v="1"/>
            <x v="2"/>
            <x v="3"/>
          </reference>
          <reference field="9" count="1" selected="0">
            <x v="2"/>
          </reference>
        </references>
      </pivotArea>
    </format>
    <format dxfId="183">
      <pivotArea dataOnly="0" labelOnly="1" outline="0" fieldPosition="0">
        <references count="3">
          <reference field="1" count="1" selected="0">
            <x v="76"/>
          </reference>
          <reference field="2" count="3">
            <x v="0"/>
            <x v="1"/>
            <x v="3"/>
          </reference>
          <reference field="9" count="1" selected="0">
            <x v="2"/>
          </reference>
        </references>
      </pivotArea>
    </format>
    <format dxfId="182">
      <pivotArea dataOnly="0" labelOnly="1" outline="0" fieldPosition="0">
        <references count="3">
          <reference field="1" count="1" selected="0">
            <x v="77"/>
          </reference>
          <reference field="2" count="8">
            <x v="0"/>
            <x v="1"/>
            <x v="2"/>
            <x v="3"/>
            <x v="4"/>
            <x v="5"/>
            <x v="7"/>
            <x v="13"/>
          </reference>
          <reference field="9" count="1" selected="0">
            <x v="2"/>
          </reference>
        </references>
      </pivotArea>
    </format>
    <format dxfId="181">
      <pivotArea dataOnly="0" labelOnly="1" outline="0" fieldPosition="0">
        <references count="3">
          <reference field="1" count="1" selected="0">
            <x v="78"/>
          </reference>
          <reference field="2" count="4">
            <x v="0"/>
            <x v="1"/>
            <x v="2"/>
            <x v="3"/>
          </reference>
          <reference field="9" count="1" selected="0">
            <x v="2"/>
          </reference>
        </references>
      </pivotArea>
    </format>
    <format dxfId="180">
      <pivotArea dataOnly="0" labelOnly="1" outline="0" fieldPosition="0">
        <references count="3">
          <reference field="1" count="1" selected="0">
            <x v="80"/>
          </reference>
          <reference field="2" count="3">
            <x v="0"/>
            <x v="1"/>
            <x v="3"/>
          </reference>
          <reference field="9" count="1" selected="0">
            <x v="2"/>
          </reference>
        </references>
      </pivotArea>
    </format>
    <format dxfId="179">
      <pivotArea dataOnly="0" labelOnly="1" outline="0" fieldPosition="0">
        <references count="3">
          <reference field="1" count="1" selected="0">
            <x v="83"/>
          </reference>
          <reference field="2" count="4">
            <x v="0"/>
            <x v="1"/>
            <x v="2"/>
            <x v="3"/>
          </reference>
          <reference field="9" count="1" selected="0">
            <x v="2"/>
          </reference>
        </references>
      </pivotArea>
    </format>
    <format dxfId="178">
      <pivotArea dataOnly="0" labelOnly="1" outline="0" fieldPosition="0">
        <references count="3">
          <reference field="1" count="1" selected="0">
            <x v="87"/>
          </reference>
          <reference field="2" count="2">
            <x v="1"/>
            <x v="3"/>
          </reference>
          <reference field="9" count="1" selected="0">
            <x v="2"/>
          </reference>
        </references>
      </pivotArea>
    </format>
    <format dxfId="177">
      <pivotArea dataOnly="0" labelOnly="1" outline="0" fieldPosition="0">
        <references count="3">
          <reference field="1" count="1" selected="0">
            <x v="88"/>
          </reference>
          <reference field="2" count="4">
            <x v="0"/>
            <x v="1"/>
            <x v="2"/>
            <x v="3"/>
          </reference>
          <reference field="9" count="1" selected="0">
            <x v="2"/>
          </reference>
        </references>
      </pivotArea>
    </format>
    <format dxfId="176">
      <pivotArea dataOnly="0" labelOnly="1" outline="0" fieldPosition="0">
        <references count="3">
          <reference field="1" count="1" selected="0">
            <x v="92"/>
          </reference>
          <reference field="2" count="5">
            <x v="0"/>
            <x v="1"/>
            <x v="2"/>
            <x v="3"/>
            <x v="7"/>
          </reference>
          <reference field="9" count="1" selected="0">
            <x v="2"/>
          </reference>
        </references>
      </pivotArea>
    </format>
    <format dxfId="175">
      <pivotArea dataOnly="0" labelOnly="1" outline="0" fieldPosition="0">
        <references count="3">
          <reference field="1" count="1" selected="0">
            <x v="93"/>
          </reference>
          <reference field="2" count="2">
            <x v="0"/>
            <x v="1"/>
          </reference>
          <reference field="9" count="1" selected="0">
            <x v="2"/>
          </reference>
        </references>
      </pivotArea>
    </format>
    <format dxfId="174">
      <pivotArea dataOnly="0" labelOnly="1" outline="0" fieldPosition="0">
        <references count="3">
          <reference field="1" count="1" selected="0">
            <x v="97"/>
          </reference>
          <reference field="2" count="2">
            <x v="1"/>
            <x v="3"/>
          </reference>
          <reference field="9" count="1" selected="0">
            <x v="2"/>
          </reference>
        </references>
      </pivotArea>
    </format>
    <format dxfId="173">
      <pivotArea dataOnly="0" labelOnly="1" outline="0" fieldPosition="0">
        <references count="3">
          <reference field="1" count="1" selected="0">
            <x v="99"/>
          </reference>
          <reference field="2" count="7">
            <x v="0"/>
            <x v="1"/>
            <x v="2"/>
            <x v="3"/>
            <x v="4"/>
            <x v="5"/>
            <x v="7"/>
          </reference>
          <reference field="9" count="1" selected="0">
            <x v="2"/>
          </reference>
        </references>
      </pivotArea>
    </format>
    <format dxfId="172">
      <pivotArea dataOnly="0" labelOnly="1" outline="0" fieldPosition="0">
        <references count="3">
          <reference field="1" count="1" selected="0">
            <x v="100"/>
          </reference>
          <reference field="2" count="4">
            <x v="0"/>
            <x v="1"/>
            <x v="2"/>
            <x v="3"/>
          </reference>
          <reference field="9" count="1" selected="0">
            <x v="2"/>
          </reference>
        </references>
      </pivotArea>
    </format>
    <format dxfId="171">
      <pivotArea dataOnly="0" labelOnly="1" outline="0" fieldPosition="0">
        <references count="3">
          <reference field="1" count="1" selected="0">
            <x v="102"/>
          </reference>
          <reference field="2" count="4">
            <x v="0"/>
            <x v="1"/>
            <x v="2"/>
            <x v="3"/>
          </reference>
          <reference field="9" count="1" selected="0">
            <x v="2"/>
          </reference>
        </references>
      </pivotArea>
    </format>
    <format dxfId="170">
      <pivotArea dataOnly="0" labelOnly="1" outline="0" fieldPosition="0">
        <references count="3">
          <reference field="1" count="1" selected="0">
            <x v="104"/>
          </reference>
          <reference field="2" count="2">
            <x v="0"/>
            <x v="2"/>
          </reference>
          <reference field="9" count="1" selected="0">
            <x v="2"/>
          </reference>
        </references>
      </pivotArea>
    </format>
    <format dxfId="169">
      <pivotArea dataOnly="0" labelOnly="1" outline="0" fieldPosition="0">
        <references count="3">
          <reference field="1" count="1" selected="0">
            <x v="105"/>
          </reference>
          <reference field="2" count="1">
            <x v="9"/>
          </reference>
          <reference field="9" count="1" selected="0">
            <x v="2"/>
          </reference>
        </references>
      </pivotArea>
    </format>
    <format dxfId="168">
      <pivotArea dataOnly="0" labelOnly="1" outline="0" axis="axisValues" fieldPosition="0"/>
    </format>
    <format dxfId="167">
      <pivotArea dataOnly="0" labelOnly="1" outline="0" fieldPosition="0">
        <references count="1">
          <reference field="9" count="1">
            <x v="0"/>
          </reference>
        </references>
      </pivotArea>
    </format>
    <format dxfId="166">
      <pivotArea dataOnly="0" labelOnly="1" outline="0" fieldPosition="0">
        <references count="1">
          <reference field="9" count="1" defaultSubtotal="1">
            <x v="0"/>
          </reference>
        </references>
      </pivotArea>
    </format>
    <format dxfId="165">
      <pivotArea dataOnly="0" labelOnly="1" outline="0" fieldPosition="0">
        <references count="1">
          <reference field="9" count="1">
            <x v="1"/>
          </reference>
        </references>
      </pivotArea>
    </format>
    <format dxfId="164">
      <pivotArea dataOnly="0" labelOnly="1" outline="0" fieldPosition="0">
        <references count="1">
          <reference field="9" count="1" defaultSubtotal="1">
            <x v="1"/>
          </reference>
        </references>
      </pivotArea>
    </format>
    <format dxfId="163">
      <pivotArea dataOnly="0" labelOnly="1" outline="0" fieldPosition="0">
        <references count="1">
          <reference field="9" count="1">
            <x v="2"/>
          </reference>
        </references>
      </pivotArea>
    </format>
    <format dxfId="162">
      <pivotArea dataOnly="0" labelOnly="1" outline="0" fieldPosition="0">
        <references count="1">
          <reference field="9" count="1" defaultSubtotal="1">
            <x v="2"/>
          </reference>
        </references>
      </pivotArea>
    </format>
    <format dxfId="161">
      <pivotArea dataOnly="0" labelOnly="1" outline="0" fieldPosition="0">
        <references count="1">
          <reference field="9" count="1" defaultSubtotal="1">
            <x v="0"/>
          </reference>
        </references>
      </pivotArea>
    </format>
    <format dxfId="160">
      <pivotArea dataOnly="0" labelOnly="1" outline="0" fieldPosition="0">
        <references count="1">
          <reference field="9" count="1">
            <x v="1"/>
          </reference>
        </references>
      </pivotArea>
    </format>
    <format dxfId="159">
      <pivotArea dataOnly="0" labelOnly="1" outline="0" fieldPosition="0">
        <references count="1">
          <reference field="9" count="1" defaultSubtotal="1">
            <x v="1"/>
          </reference>
        </references>
      </pivotArea>
    </format>
    <format dxfId="158">
      <pivotArea dataOnly="0" labelOnly="1" outline="0" fieldPosition="0">
        <references count="1">
          <reference field="9" count="1">
            <x v="2"/>
          </reference>
        </references>
      </pivotArea>
    </format>
    <format dxfId="157">
      <pivotArea dataOnly="0" labelOnly="1" outline="0" fieldPosition="0">
        <references count="1">
          <reference field="9" count="1" defaultSubtotal="1">
            <x v="2"/>
          </reference>
        </references>
      </pivotArea>
    </format>
    <format dxfId="156">
      <pivotArea dataOnly="0" labelOnly="1" grandRow="1" outline="0" fieldPosition="0"/>
    </format>
    <format dxfId="155">
      <pivotArea dataOnly="0" labelOnly="1" outline="0" fieldPosition="0">
        <references count="1">
          <reference field="9" count="1">
            <x v="0"/>
          </reference>
        </references>
      </pivotArea>
    </format>
    <format dxfId="154">
      <pivotArea dataOnly="0" labelOnly="1" outline="0" fieldPosition="0">
        <references count="1">
          <reference field="1" count="0"/>
        </references>
      </pivotArea>
    </format>
    <format dxfId="153">
      <pivotArea dataOnly="0" outline="0" fieldPosition="0">
        <references count="1">
          <reference field="1" count="0" defaultSubtotal="1"/>
        </references>
      </pivotArea>
    </format>
    <format dxfId="152">
      <pivotArea field="9" type="button" dataOnly="0" labelOnly="1" outline="0" axis="axisRow" fieldPosition="0"/>
    </format>
    <format dxfId="151">
      <pivotArea field="1" type="button" dataOnly="0" labelOnly="1" outline="0" axis="axisRow" fieldPosition="1"/>
    </format>
    <format dxfId="150">
      <pivotArea field="2" type="button" dataOnly="0" labelOnly="1" outline="0" axis="axisRow" fieldPosition="2"/>
    </format>
    <format dxfId="149">
      <pivotArea dataOnly="0" labelOnly="1" outline="0" axis="axisValues" fieldPosition="0"/>
    </format>
    <format dxfId="148">
      <pivotArea dataOnly="0" outline="0" fieldPosition="0">
        <references count="1">
          <reference field="1" count="0" defaultSubtotal="1"/>
        </references>
      </pivotArea>
    </format>
    <format dxfId="147">
      <pivotArea dataOnly="0" outline="0" fieldPosition="0">
        <references count="1">
          <reference field="1" count="0" defaultSubtotal="1"/>
        </references>
      </pivotArea>
    </format>
    <format dxfId="146">
      <pivotArea dataOnly="0" outline="0" fieldPosition="0">
        <references count="1">
          <reference field="1" count="0" defaultSubtotal="1"/>
        </references>
      </pivotArea>
    </format>
    <format dxfId="145">
      <pivotArea dataOnly="0" outline="0" fieldPosition="0">
        <references count="1">
          <reference field="1" count="0" defaultSubtotal="1"/>
        </references>
      </pivotArea>
    </format>
    <format dxfId="144">
      <pivotArea dataOnly="0" outline="0" fieldPosition="0">
        <references count="1">
          <reference field="1" count="0" defaultSubtotal="1"/>
        </references>
      </pivotArea>
    </format>
    <format dxfId="143">
      <pivotArea dataOnly="0" outline="0" fieldPosition="0">
        <references count="1">
          <reference field="1" count="0" defaultSubtotal="1"/>
        </references>
      </pivotArea>
    </format>
    <format dxfId="142">
      <pivotArea outline="0" fieldPosition="0">
        <references count="1">
          <reference field="9" count="1" selected="0" defaultSubtotal="1">
            <x v="0"/>
          </reference>
        </references>
      </pivotArea>
    </format>
    <format dxfId="141">
      <pivotArea dataOnly="0" labelOnly="1" outline="0" fieldPosition="0">
        <references count="1">
          <reference field="9" count="1" defaultSubtotal="1">
            <x v="0"/>
          </reference>
        </references>
      </pivotArea>
    </format>
    <format dxfId="140">
      <pivotArea outline="0" fieldPosition="0">
        <references count="1">
          <reference field="9" count="1" selected="0" defaultSubtotal="1">
            <x v="1"/>
          </reference>
        </references>
      </pivotArea>
    </format>
    <format dxfId="139">
      <pivotArea dataOnly="0" labelOnly="1" outline="0" fieldPosition="0">
        <references count="1">
          <reference field="9" count="1" defaultSubtotal="1">
            <x v="1"/>
          </reference>
        </references>
      </pivotArea>
    </format>
    <format dxfId="138">
      <pivotArea outline="0" fieldPosition="0">
        <references count="1">
          <reference field="9" count="1" selected="0" defaultSubtotal="1">
            <x v="2"/>
          </reference>
        </references>
      </pivotArea>
    </format>
    <format dxfId="137">
      <pivotArea dataOnly="0" labelOnly="1" outline="0" fieldPosition="0">
        <references count="1">
          <reference field="9" count="1" defaultSubtotal="1">
            <x v="2"/>
          </reference>
        </references>
      </pivotArea>
    </format>
    <format dxfId="136">
      <pivotArea grandRow="1" outline="0" collapsedLevelsAreSubtotals="1" fieldPosition="0"/>
    </format>
    <format dxfId="135">
      <pivotArea dataOnly="0" labelOnly="1" grandRow="1" outline="0" fieldPosition="0"/>
    </format>
    <format dxfId="134">
      <pivotArea type="all" dataOnly="0" outline="0" fieldPosition="0"/>
    </format>
    <format dxfId="133">
      <pivotArea outline="0" collapsedLevelsAreSubtotals="1" fieldPosition="0"/>
    </format>
    <format dxfId="132">
      <pivotArea field="9" type="button" dataOnly="0" labelOnly="1" outline="0" axis="axisRow" fieldPosition="0"/>
    </format>
    <format dxfId="131">
      <pivotArea field="1" type="button" dataOnly="0" labelOnly="1" outline="0" axis="axisRow" fieldPosition="1"/>
    </format>
    <format dxfId="130">
      <pivotArea field="2" type="button" dataOnly="0" labelOnly="1" outline="0" axis="axisRow" fieldPosition="2"/>
    </format>
    <format dxfId="129">
      <pivotArea dataOnly="0" labelOnly="1" outline="0" fieldPosition="0">
        <references count="1">
          <reference field="9" count="0"/>
        </references>
      </pivotArea>
    </format>
    <format dxfId="128">
      <pivotArea dataOnly="0" labelOnly="1" outline="0" fieldPosition="0">
        <references count="1">
          <reference field="9" count="0" defaultSubtotal="1"/>
        </references>
      </pivotArea>
    </format>
    <format dxfId="127">
      <pivotArea dataOnly="0" labelOnly="1" grandRow="1" outline="0" fieldPosition="0"/>
    </format>
    <format dxfId="126">
      <pivotArea dataOnly="0" labelOnly="1" outline="0" fieldPosition="0">
        <references count="2">
          <reference field="1" count="25">
            <x v="1"/>
            <x v="6"/>
            <x v="13"/>
            <x v="16"/>
            <x v="19"/>
            <x v="24"/>
            <x v="27"/>
            <x v="28"/>
            <x v="30"/>
            <x v="32"/>
            <x v="33"/>
            <x v="35"/>
            <x v="39"/>
            <x v="51"/>
            <x v="56"/>
            <x v="57"/>
            <x v="58"/>
            <x v="59"/>
            <x v="62"/>
            <x v="66"/>
            <x v="70"/>
            <x v="71"/>
            <x v="72"/>
            <x v="75"/>
            <x v="79"/>
          </reference>
          <reference field="9" count="1" selected="0">
            <x v="0"/>
          </reference>
        </references>
      </pivotArea>
    </format>
    <format dxfId="125">
      <pivotArea dataOnly="0" labelOnly="1" outline="0" fieldPosition="0">
        <references count="2">
          <reference field="1" count="25" defaultSubtotal="1">
            <x v="1"/>
            <x v="6"/>
            <x v="13"/>
            <x v="16"/>
            <x v="19"/>
            <x v="24"/>
            <x v="27"/>
            <x v="28"/>
            <x v="30"/>
            <x v="32"/>
            <x v="33"/>
            <x v="35"/>
            <x v="39"/>
            <x v="51"/>
            <x v="56"/>
            <x v="57"/>
            <x v="58"/>
            <x v="59"/>
            <x v="62"/>
            <x v="66"/>
            <x v="70"/>
            <x v="71"/>
            <x v="72"/>
            <x v="75"/>
            <x v="79"/>
          </reference>
          <reference field="9" count="1" selected="0">
            <x v="0"/>
          </reference>
        </references>
      </pivotArea>
    </format>
    <format dxfId="124">
      <pivotArea dataOnly="0" labelOnly="1" outline="0" fieldPosition="0">
        <references count="2">
          <reference field="1" count="8">
            <x v="86"/>
            <x v="89"/>
            <x v="90"/>
            <x v="91"/>
            <x v="95"/>
            <x v="96"/>
            <x v="103"/>
            <x v="106"/>
          </reference>
          <reference field="9" count="1" selected="0">
            <x v="0"/>
          </reference>
        </references>
      </pivotArea>
    </format>
    <format dxfId="123">
      <pivotArea dataOnly="0" labelOnly="1" outline="0" fieldPosition="0">
        <references count="2">
          <reference field="1" count="8" defaultSubtotal="1">
            <x v="86"/>
            <x v="89"/>
            <x v="90"/>
            <x v="91"/>
            <x v="95"/>
            <x v="96"/>
            <x v="103"/>
            <x v="106"/>
          </reference>
          <reference field="9" count="1" selected="0">
            <x v="0"/>
          </reference>
        </references>
      </pivotArea>
    </format>
    <format dxfId="122">
      <pivotArea dataOnly="0" labelOnly="1" outline="0" fieldPosition="0">
        <references count="2">
          <reference field="1" count="25">
            <x v="0"/>
            <x v="2"/>
            <x v="7"/>
            <x v="8"/>
            <x v="10"/>
            <x v="12"/>
            <x v="14"/>
            <x v="15"/>
            <x v="18"/>
            <x v="22"/>
            <x v="38"/>
            <x v="44"/>
            <x v="46"/>
            <x v="47"/>
            <x v="49"/>
            <x v="50"/>
            <x v="60"/>
            <x v="63"/>
            <x v="68"/>
            <x v="81"/>
            <x v="82"/>
            <x v="84"/>
            <x v="85"/>
            <x v="94"/>
            <x v="98"/>
          </reference>
          <reference field="9" count="1" selected="0">
            <x v="1"/>
          </reference>
        </references>
      </pivotArea>
    </format>
    <format dxfId="121">
      <pivotArea dataOnly="0" labelOnly="1" outline="0" fieldPosition="0">
        <references count="2">
          <reference field="1" count="25" defaultSubtotal="1">
            <x v="0"/>
            <x v="2"/>
            <x v="7"/>
            <x v="8"/>
            <x v="10"/>
            <x v="12"/>
            <x v="14"/>
            <x v="15"/>
            <x v="18"/>
            <x v="22"/>
            <x v="38"/>
            <x v="44"/>
            <x v="46"/>
            <x v="47"/>
            <x v="49"/>
            <x v="50"/>
            <x v="60"/>
            <x v="63"/>
            <x v="68"/>
            <x v="81"/>
            <x v="82"/>
            <x v="84"/>
            <x v="85"/>
            <x v="94"/>
            <x v="98"/>
          </reference>
          <reference field="9" count="1" selected="0">
            <x v="1"/>
          </reference>
        </references>
      </pivotArea>
    </format>
    <format dxfId="120">
      <pivotArea dataOnly="0" labelOnly="1" outline="0" fieldPosition="0">
        <references count="2">
          <reference field="1" count="3">
            <x v="101"/>
            <x v="107"/>
            <x v="108"/>
          </reference>
          <reference field="9" count="1" selected="0">
            <x v="1"/>
          </reference>
        </references>
      </pivotArea>
    </format>
    <format dxfId="119">
      <pivotArea dataOnly="0" labelOnly="1" outline="0" fieldPosition="0">
        <references count="2">
          <reference field="1" count="3" defaultSubtotal="1">
            <x v="101"/>
            <x v="107"/>
            <x v="108"/>
          </reference>
          <reference field="9" count="1" selected="0">
            <x v="1"/>
          </reference>
        </references>
      </pivotArea>
    </format>
    <format dxfId="118">
      <pivotArea dataOnly="0" labelOnly="1" outline="0" fieldPosition="0">
        <references count="2">
          <reference field="1" count="25">
            <x v="3"/>
            <x v="4"/>
            <x v="5"/>
            <x v="9"/>
            <x v="11"/>
            <x v="17"/>
            <x v="20"/>
            <x v="21"/>
            <x v="23"/>
            <x v="25"/>
            <x v="26"/>
            <x v="29"/>
            <x v="31"/>
            <x v="34"/>
            <x v="36"/>
            <x v="37"/>
            <x v="40"/>
            <x v="41"/>
            <x v="42"/>
            <x v="43"/>
            <x v="45"/>
            <x v="48"/>
            <x v="49"/>
            <x v="52"/>
            <x v="53"/>
          </reference>
          <reference field="9" count="1" selected="0">
            <x v="2"/>
          </reference>
        </references>
      </pivotArea>
    </format>
    <format dxfId="117">
      <pivotArea dataOnly="0" labelOnly="1" outline="0" fieldPosition="0">
        <references count="2">
          <reference field="1" count="25" defaultSubtotal="1">
            <x v="3"/>
            <x v="4"/>
            <x v="5"/>
            <x v="9"/>
            <x v="11"/>
            <x v="17"/>
            <x v="20"/>
            <x v="21"/>
            <x v="23"/>
            <x v="25"/>
            <x v="26"/>
            <x v="29"/>
            <x v="31"/>
            <x v="34"/>
            <x v="36"/>
            <x v="37"/>
            <x v="40"/>
            <x v="41"/>
            <x v="42"/>
            <x v="43"/>
            <x v="45"/>
            <x v="48"/>
            <x v="49"/>
            <x v="52"/>
            <x v="53"/>
          </reference>
          <reference field="9" count="1" selected="0">
            <x v="2"/>
          </reference>
        </references>
      </pivotArea>
    </format>
    <format dxfId="116">
      <pivotArea dataOnly="0" labelOnly="1" outline="0" fieldPosition="0">
        <references count="2">
          <reference field="1" count="24">
            <x v="54"/>
            <x v="55"/>
            <x v="61"/>
            <x v="64"/>
            <x v="65"/>
            <x v="67"/>
            <x v="69"/>
            <x v="73"/>
            <x v="74"/>
            <x v="76"/>
            <x v="77"/>
            <x v="78"/>
            <x v="80"/>
            <x v="83"/>
            <x v="87"/>
            <x v="88"/>
            <x v="92"/>
            <x v="93"/>
            <x v="97"/>
            <x v="99"/>
            <x v="100"/>
            <x v="102"/>
            <x v="104"/>
            <x v="105"/>
          </reference>
          <reference field="9" count="1" selected="0">
            <x v="2"/>
          </reference>
        </references>
      </pivotArea>
    </format>
    <format dxfId="115">
      <pivotArea dataOnly="0" labelOnly="1" outline="0" fieldPosition="0">
        <references count="2">
          <reference field="1" count="24" defaultSubtotal="1">
            <x v="54"/>
            <x v="55"/>
            <x v="61"/>
            <x v="64"/>
            <x v="65"/>
            <x v="67"/>
            <x v="69"/>
            <x v="73"/>
            <x v="74"/>
            <x v="76"/>
            <x v="77"/>
            <x v="78"/>
            <x v="80"/>
            <x v="83"/>
            <x v="87"/>
            <x v="88"/>
            <x v="92"/>
            <x v="93"/>
            <x v="97"/>
            <x v="99"/>
            <x v="100"/>
            <x v="102"/>
            <x v="104"/>
            <x v="105"/>
          </reference>
          <reference field="9" count="1" selected="0">
            <x v="2"/>
          </reference>
        </references>
      </pivotArea>
    </format>
    <format dxfId="114">
      <pivotArea dataOnly="0" labelOnly="1" outline="0" fieldPosition="0">
        <references count="3">
          <reference field="1" count="1" selected="0">
            <x v="1"/>
          </reference>
          <reference field="2" count="4">
            <x v="0"/>
            <x v="1"/>
            <x v="2"/>
            <x v="3"/>
          </reference>
          <reference field="9" count="1" selected="0">
            <x v="0"/>
          </reference>
        </references>
      </pivotArea>
    </format>
    <format dxfId="113">
      <pivotArea dataOnly="0" labelOnly="1" outline="0" fieldPosition="0">
        <references count="3">
          <reference field="1" count="1" selected="0">
            <x v="6"/>
          </reference>
          <reference field="2" count="2">
            <x v="0"/>
            <x v="1"/>
          </reference>
          <reference field="9" count="1" selected="0">
            <x v="0"/>
          </reference>
        </references>
      </pivotArea>
    </format>
    <format dxfId="112">
      <pivotArea dataOnly="0" labelOnly="1" outline="0" fieldPosition="0">
        <references count="3">
          <reference field="1" count="1" selected="0">
            <x v="13"/>
          </reference>
          <reference field="2" count="2">
            <x v="0"/>
            <x v="1"/>
          </reference>
          <reference field="9" count="1" selected="0">
            <x v="0"/>
          </reference>
        </references>
      </pivotArea>
    </format>
    <format dxfId="111">
      <pivotArea dataOnly="0" labelOnly="1" outline="0" fieldPosition="0">
        <references count="3">
          <reference field="1" count="1" selected="0">
            <x v="16"/>
          </reference>
          <reference field="2" count="13">
            <x v="0"/>
            <x v="1"/>
            <x v="2"/>
            <x v="3"/>
            <x v="4"/>
            <x v="5"/>
            <x v="6"/>
            <x v="7"/>
            <x v="8"/>
            <x v="10"/>
            <x v="11"/>
            <x v="12"/>
            <x v="13"/>
          </reference>
          <reference field="9" count="1" selected="0">
            <x v="0"/>
          </reference>
        </references>
      </pivotArea>
    </format>
    <format dxfId="110">
      <pivotArea dataOnly="0" labelOnly="1" outline="0" fieldPosition="0">
        <references count="3">
          <reference field="1" count="1" selected="0">
            <x v="19"/>
          </reference>
          <reference field="2" count="5">
            <x v="0"/>
            <x v="1"/>
            <x v="2"/>
            <x v="3"/>
            <x v="9"/>
          </reference>
          <reference field="9" count="1" selected="0">
            <x v="0"/>
          </reference>
        </references>
      </pivotArea>
    </format>
    <format dxfId="109">
      <pivotArea dataOnly="0" labelOnly="1" outline="0" fieldPosition="0">
        <references count="3">
          <reference field="1" count="1" selected="0">
            <x v="24"/>
          </reference>
          <reference field="2" count="3">
            <x v="0"/>
            <x v="1"/>
            <x v="3"/>
          </reference>
          <reference field="9" count="1" selected="0">
            <x v="0"/>
          </reference>
        </references>
      </pivotArea>
    </format>
    <format dxfId="108">
      <pivotArea dataOnly="0" labelOnly="1" outline="0" fieldPosition="0">
        <references count="3">
          <reference field="1" count="1" selected="0">
            <x v="27"/>
          </reference>
          <reference field="2" count="1">
            <x v="2"/>
          </reference>
          <reference field="9" count="1" selected="0">
            <x v="0"/>
          </reference>
        </references>
      </pivotArea>
    </format>
    <format dxfId="107">
      <pivotArea dataOnly="0" labelOnly="1" outline="0" fieldPosition="0">
        <references count="3">
          <reference field="1" count="1" selected="0">
            <x v="28"/>
          </reference>
          <reference field="2" count="2">
            <x v="0"/>
            <x v="1"/>
          </reference>
          <reference field="9" count="1" selected="0">
            <x v="0"/>
          </reference>
        </references>
      </pivotArea>
    </format>
    <format dxfId="106">
      <pivotArea dataOnly="0" labelOnly="1" outline="0" fieldPosition="0">
        <references count="3">
          <reference field="1" count="1" selected="0">
            <x v="30"/>
          </reference>
          <reference field="2" count="1">
            <x v="1"/>
          </reference>
          <reference field="9" count="1" selected="0">
            <x v="0"/>
          </reference>
        </references>
      </pivotArea>
    </format>
    <format dxfId="105">
      <pivotArea dataOnly="0" labelOnly="1" outline="0" fieldPosition="0">
        <references count="3">
          <reference field="1" count="1" selected="0">
            <x v="32"/>
          </reference>
          <reference field="2" count="8">
            <x v="0"/>
            <x v="1"/>
            <x v="2"/>
            <x v="3"/>
            <x v="4"/>
            <x v="5"/>
            <x v="7"/>
            <x v="13"/>
          </reference>
          <reference field="9" count="1" selected="0">
            <x v="0"/>
          </reference>
        </references>
      </pivotArea>
    </format>
    <format dxfId="104">
      <pivotArea dataOnly="0" labelOnly="1" outline="0" fieldPosition="0">
        <references count="3">
          <reference field="1" count="1" selected="0">
            <x v="33"/>
          </reference>
          <reference field="2" count="4">
            <x v="0"/>
            <x v="1"/>
            <x v="2"/>
            <x v="3"/>
          </reference>
          <reference field="9" count="1" selected="0">
            <x v="0"/>
          </reference>
        </references>
      </pivotArea>
    </format>
    <format dxfId="103">
      <pivotArea dataOnly="0" labelOnly="1" outline="0" fieldPosition="0">
        <references count="3">
          <reference field="1" count="1" selected="0">
            <x v="35"/>
          </reference>
          <reference field="2" count="3">
            <x v="0"/>
            <x v="1"/>
            <x v="3"/>
          </reference>
          <reference field="9" count="1" selected="0">
            <x v="0"/>
          </reference>
        </references>
      </pivotArea>
    </format>
    <format dxfId="102">
      <pivotArea dataOnly="0" labelOnly="1" outline="0" fieldPosition="0">
        <references count="3">
          <reference field="1" count="1" selected="0">
            <x v="39"/>
          </reference>
          <reference field="2" count="2">
            <x v="0"/>
            <x v="1"/>
          </reference>
          <reference field="9" count="1" selected="0">
            <x v="0"/>
          </reference>
        </references>
      </pivotArea>
    </format>
    <format dxfId="101">
      <pivotArea dataOnly="0" labelOnly="1" outline="0" fieldPosition="0">
        <references count="3">
          <reference field="1" count="1" selected="0">
            <x v="51"/>
          </reference>
          <reference field="2" count="2">
            <x v="1"/>
            <x v="3"/>
          </reference>
          <reference field="9" count="1" selected="0">
            <x v="0"/>
          </reference>
        </references>
      </pivotArea>
    </format>
    <format dxfId="100">
      <pivotArea dataOnly="0" labelOnly="1" outline="0" fieldPosition="0">
        <references count="3">
          <reference field="1" count="1" selected="0">
            <x v="56"/>
          </reference>
          <reference field="2" count="4">
            <x v="0"/>
            <x v="1"/>
            <x v="2"/>
            <x v="3"/>
          </reference>
          <reference field="9" count="1" selected="0">
            <x v="0"/>
          </reference>
        </references>
      </pivotArea>
    </format>
    <format dxfId="99">
      <pivotArea dataOnly="0" labelOnly="1" outline="0" fieldPosition="0">
        <references count="3">
          <reference field="1" count="1" selected="0">
            <x v="57"/>
          </reference>
          <reference field="2" count="7">
            <x v="0"/>
            <x v="1"/>
            <x v="2"/>
            <x v="3"/>
            <x v="4"/>
            <x v="5"/>
            <x v="7"/>
          </reference>
          <reference field="9" count="1" selected="0">
            <x v="0"/>
          </reference>
        </references>
      </pivotArea>
    </format>
    <format dxfId="98">
      <pivotArea dataOnly="0" labelOnly="1" outline="0" fieldPosition="0">
        <references count="3">
          <reference field="1" count="1" selected="0">
            <x v="58"/>
          </reference>
          <reference field="2" count="1">
            <x v="1"/>
          </reference>
          <reference field="9" count="1" selected="0">
            <x v="0"/>
          </reference>
        </references>
      </pivotArea>
    </format>
    <format dxfId="97">
      <pivotArea dataOnly="0" labelOnly="1" outline="0" fieldPosition="0">
        <references count="3">
          <reference field="1" count="1" selected="0">
            <x v="59"/>
          </reference>
          <reference field="2" count="1">
            <x v="9"/>
          </reference>
          <reference field="9" count="1" selected="0">
            <x v="0"/>
          </reference>
        </references>
      </pivotArea>
    </format>
    <format dxfId="96">
      <pivotArea dataOnly="0" labelOnly="1" outline="0" fieldPosition="0">
        <references count="3">
          <reference field="1" count="1" selected="0">
            <x v="62"/>
          </reference>
          <reference field="2" count="1">
            <x v="0"/>
          </reference>
          <reference field="9" count="1" selected="0">
            <x v="0"/>
          </reference>
        </references>
      </pivotArea>
    </format>
    <format dxfId="95">
      <pivotArea dataOnly="0" labelOnly="1" outline="0" fieldPosition="0">
        <references count="3">
          <reference field="1" count="1" selected="0">
            <x v="66"/>
          </reference>
          <reference field="2" count="6">
            <x v="0"/>
            <x v="1"/>
            <x v="2"/>
            <x v="3"/>
            <x v="4"/>
            <x v="5"/>
          </reference>
          <reference field="9" count="1" selected="0">
            <x v="0"/>
          </reference>
        </references>
      </pivotArea>
    </format>
    <format dxfId="94">
      <pivotArea dataOnly="0" labelOnly="1" outline="0" fieldPosition="0">
        <references count="3">
          <reference field="1" count="1" selected="0">
            <x v="70"/>
          </reference>
          <reference field="2" count="4">
            <x v="0"/>
            <x v="1"/>
            <x v="2"/>
            <x v="3"/>
          </reference>
          <reference field="9" count="1" selected="0">
            <x v="0"/>
          </reference>
        </references>
      </pivotArea>
    </format>
    <format dxfId="93">
      <pivotArea dataOnly="0" labelOnly="1" outline="0" fieldPosition="0">
        <references count="3">
          <reference field="1" count="1" selected="0">
            <x v="71"/>
          </reference>
          <reference field="2" count="6">
            <x v="0"/>
            <x v="1"/>
            <x v="2"/>
            <x v="3"/>
            <x v="5"/>
            <x v="7"/>
          </reference>
          <reference field="9" count="1" selected="0">
            <x v="0"/>
          </reference>
        </references>
      </pivotArea>
    </format>
    <format dxfId="92">
      <pivotArea dataOnly="0" labelOnly="1" outline="0" fieldPosition="0">
        <references count="3">
          <reference field="1" count="1" selected="0">
            <x v="72"/>
          </reference>
          <reference field="2" count="6">
            <x v="0"/>
            <x v="1"/>
            <x v="2"/>
            <x v="3"/>
            <x v="4"/>
            <x v="9"/>
          </reference>
          <reference field="9" count="1" selected="0">
            <x v="0"/>
          </reference>
        </references>
      </pivotArea>
    </format>
    <format dxfId="91">
      <pivotArea dataOnly="0" labelOnly="1" outline="0" fieldPosition="0">
        <references count="3">
          <reference field="1" count="1" selected="0">
            <x v="75"/>
          </reference>
          <reference field="2" count="3">
            <x v="0"/>
            <x v="1"/>
            <x v="3"/>
          </reference>
          <reference field="9" count="1" selected="0">
            <x v="0"/>
          </reference>
        </references>
      </pivotArea>
    </format>
    <format dxfId="90">
      <pivotArea dataOnly="0" labelOnly="1" outline="0" fieldPosition="0">
        <references count="3">
          <reference field="1" count="1" selected="0">
            <x v="79"/>
          </reference>
          <reference field="2" count="2">
            <x v="0"/>
            <x v="2"/>
          </reference>
          <reference field="9" count="1" selected="0">
            <x v="0"/>
          </reference>
        </references>
      </pivotArea>
    </format>
    <format dxfId="89">
      <pivotArea dataOnly="0" labelOnly="1" outline="0" fieldPosition="0">
        <references count="3">
          <reference field="1" count="1" selected="0">
            <x v="86"/>
          </reference>
          <reference field="2" count="1">
            <x v="0"/>
          </reference>
          <reference field="9" count="1" selected="0">
            <x v="0"/>
          </reference>
        </references>
      </pivotArea>
    </format>
    <format dxfId="88">
      <pivotArea dataOnly="0" labelOnly="1" outline="0" fieldPosition="0">
        <references count="3">
          <reference field="1" count="1" selected="0">
            <x v="89"/>
          </reference>
          <reference field="2" count="3">
            <x v="0"/>
            <x v="1"/>
            <x v="3"/>
          </reference>
          <reference field="9" count="1" selected="0">
            <x v="0"/>
          </reference>
        </references>
      </pivotArea>
    </format>
    <format dxfId="87">
      <pivotArea dataOnly="0" labelOnly="1" outline="0" fieldPosition="0">
        <references count="3">
          <reference field="1" count="1" selected="0">
            <x v="90"/>
          </reference>
          <reference field="2" count="1">
            <x v="2"/>
          </reference>
          <reference field="9" count="1" selected="0">
            <x v="0"/>
          </reference>
        </references>
      </pivotArea>
    </format>
    <format dxfId="86">
      <pivotArea dataOnly="0" labelOnly="1" outline="0" fieldPosition="0">
        <references count="3">
          <reference field="1" count="1" selected="0">
            <x v="91"/>
          </reference>
          <reference field="2" count="4">
            <x v="0"/>
            <x v="1"/>
            <x v="2"/>
            <x v="3"/>
          </reference>
          <reference field="9" count="1" selected="0">
            <x v="0"/>
          </reference>
        </references>
      </pivotArea>
    </format>
    <format dxfId="85">
      <pivotArea dataOnly="0" labelOnly="1" outline="0" fieldPosition="0">
        <references count="3">
          <reference field="1" count="1" selected="0">
            <x v="95"/>
          </reference>
          <reference field="2" count="4">
            <x v="0"/>
            <x v="1"/>
            <x v="2"/>
            <x v="3"/>
          </reference>
          <reference field="9" count="1" selected="0">
            <x v="0"/>
          </reference>
        </references>
      </pivotArea>
    </format>
    <format dxfId="84">
      <pivotArea dataOnly="0" labelOnly="1" outline="0" fieldPosition="0">
        <references count="3">
          <reference field="1" count="1" selected="0">
            <x v="96"/>
          </reference>
          <reference field="2" count="2">
            <x v="0"/>
            <x v="2"/>
          </reference>
          <reference field="9" count="1" selected="0">
            <x v="0"/>
          </reference>
        </references>
      </pivotArea>
    </format>
    <format dxfId="83">
      <pivotArea dataOnly="0" labelOnly="1" outline="0" fieldPosition="0">
        <references count="3">
          <reference field="1" count="1" selected="0">
            <x v="103"/>
          </reference>
          <reference field="2" count="6">
            <x v="0"/>
            <x v="1"/>
            <x v="2"/>
            <x v="3"/>
            <x v="4"/>
            <x v="7"/>
          </reference>
          <reference field="9" count="1" selected="0">
            <x v="0"/>
          </reference>
        </references>
      </pivotArea>
    </format>
    <format dxfId="82">
      <pivotArea dataOnly="0" labelOnly="1" outline="0" fieldPosition="0">
        <references count="3">
          <reference field="1" count="1" selected="0">
            <x v="106"/>
          </reference>
          <reference field="2" count="6">
            <x v="0"/>
            <x v="1"/>
            <x v="2"/>
            <x v="3"/>
            <x v="4"/>
            <x v="5"/>
          </reference>
          <reference field="9" count="1" selected="0">
            <x v="0"/>
          </reference>
        </references>
      </pivotArea>
    </format>
    <format dxfId="81">
      <pivotArea dataOnly="0" labelOnly="1" outline="0" fieldPosition="0">
        <references count="3">
          <reference field="1" count="1" selected="0">
            <x v="0"/>
          </reference>
          <reference field="2" count="5">
            <x v="0"/>
            <x v="1"/>
            <x v="3"/>
            <x v="5"/>
            <x v="7"/>
          </reference>
          <reference field="9" count="1" selected="0">
            <x v="1"/>
          </reference>
        </references>
      </pivotArea>
    </format>
    <format dxfId="80">
      <pivotArea dataOnly="0" labelOnly="1" outline="0" fieldPosition="0">
        <references count="3">
          <reference field="1" count="1" selected="0">
            <x v="2"/>
          </reference>
          <reference field="2" count="1">
            <x v="2"/>
          </reference>
          <reference field="9" count="1" selected="0">
            <x v="1"/>
          </reference>
        </references>
      </pivotArea>
    </format>
    <format dxfId="79">
      <pivotArea dataOnly="0" labelOnly="1" outline="0" fieldPosition="0">
        <references count="3">
          <reference field="1" count="1" selected="0">
            <x v="7"/>
          </reference>
          <reference field="2" count="1">
            <x v="1"/>
          </reference>
          <reference field="9" count="1" selected="0">
            <x v="1"/>
          </reference>
        </references>
      </pivotArea>
    </format>
    <format dxfId="78">
      <pivotArea dataOnly="0" labelOnly="1" outline="0" fieldPosition="0">
        <references count="3">
          <reference field="1" count="1" selected="0">
            <x v="8"/>
          </reference>
          <reference field="2" count="4">
            <x v="0"/>
            <x v="1"/>
            <x v="2"/>
            <x v="3"/>
          </reference>
          <reference field="9" count="1" selected="0">
            <x v="1"/>
          </reference>
        </references>
      </pivotArea>
    </format>
    <format dxfId="77">
      <pivotArea dataOnly="0" labelOnly="1" outline="0" fieldPosition="0">
        <references count="3">
          <reference field="1" count="1" selected="0">
            <x v="10"/>
          </reference>
          <reference field="2" count="2">
            <x v="0"/>
            <x v="1"/>
          </reference>
          <reference field="9" count="1" selected="0">
            <x v="1"/>
          </reference>
        </references>
      </pivotArea>
    </format>
    <format dxfId="76">
      <pivotArea dataOnly="0" labelOnly="1" outline="0" fieldPosition="0">
        <references count="3">
          <reference field="1" count="1" selected="0">
            <x v="12"/>
          </reference>
          <reference field="2" count="2">
            <x v="0"/>
            <x v="2"/>
          </reference>
          <reference field="9" count="1" selected="0">
            <x v="1"/>
          </reference>
        </references>
      </pivotArea>
    </format>
    <format dxfId="75">
      <pivotArea dataOnly="0" labelOnly="1" outline="0" fieldPosition="0">
        <references count="3">
          <reference field="1" count="1" selected="0">
            <x v="14"/>
          </reference>
          <reference field="2" count="3">
            <x v="6"/>
            <x v="8"/>
            <x v="9"/>
          </reference>
          <reference field="9" count="1" selected="0">
            <x v="1"/>
          </reference>
        </references>
      </pivotArea>
    </format>
    <format dxfId="74">
      <pivotArea dataOnly="0" labelOnly="1" outline="0" fieldPosition="0">
        <references count="3">
          <reference field="1" count="1" selected="0">
            <x v="15"/>
          </reference>
          <reference field="2" count="10">
            <x v="0"/>
            <x v="1"/>
            <x v="2"/>
            <x v="3"/>
            <x v="4"/>
            <x v="5"/>
            <x v="7"/>
            <x v="10"/>
            <x v="12"/>
            <x v="13"/>
          </reference>
          <reference field="9" count="1" selected="0">
            <x v="1"/>
          </reference>
        </references>
      </pivotArea>
    </format>
    <format dxfId="73">
      <pivotArea dataOnly="0" labelOnly="1" outline="0" fieldPosition="0">
        <references count="3">
          <reference field="1" count="1" selected="0">
            <x v="18"/>
          </reference>
          <reference field="2" count="3">
            <x v="0"/>
            <x v="1"/>
            <x v="3"/>
          </reference>
          <reference field="9" count="1" selected="0">
            <x v="1"/>
          </reference>
        </references>
      </pivotArea>
    </format>
    <format dxfId="72">
      <pivotArea dataOnly="0" labelOnly="1" outline="0" fieldPosition="0">
        <references count="3">
          <reference field="1" count="1" selected="0">
            <x v="22"/>
          </reference>
          <reference field="2" count="2">
            <x v="1"/>
            <x v="3"/>
          </reference>
          <reference field="9" count="1" selected="0">
            <x v="1"/>
          </reference>
        </references>
      </pivotArea>
    </format>
    <format dxfId="71">
      <pivotArea dataOnly="0" labelOnly="1" outline="0" fieldPosition="0">
        <references count="3">
          <reference field="1" count="1" selected="0">
            <x v="38"/>
          </reference>
          <reference field="2" count="4">
            <x v="0"/>
            <x v="1"/>
            <x v="2"/>
            <x v="3"/>
          </reference>
          <reference field="9" count="1" selected="0">
            <x v="1"/>
          </reference>
        </references>
      </pivotArea>
    </format>
    <format dxfId="70">
      <pivotArea dataOnly="0" labelOnly="1" outline="0" fieldPosition="0">
        <references count="3">
          <reference field="1" count="1" selected="0">
            <x v="44"/>
          </reference>
          <reference field="2" count="1">
            <x v="0"/>
          </reference>
          <reference field="9" count="1" selected="0">
            <x v="1"/>
          </reference>
        </references>
      </pivotArea>
    </format>
    <format dxfId="69">
      <pivotArea dataOnly="0" labelOnly="1" outline="0" fieldPosition="0">
        <references count="3">
          <reference field="1" count="1" selected="0">
            <x v="46"/>
          </reference>
          <reference field="2" count="11">
            <x v="0"/>
            <x v="1"/>
            <x v="2"/>
            <x v="3"/>
            <x v="4"/>
            <x v="5"/>
            <x v="6"/>
            <x v="9"/>
            <x v="10"/>
            <x v="12"/>
            <x v="13"/>
          </reference>
          <reference field="9" count="1" selected="0">
            <x v="1"/>
          </reference>
        </references>
      </pivotArea>
    </format>
    <format dxfId="68">
      <pivotArea dataOnly="0" labelOnly="1" outline="0" fieldPosition="0">
        <references count="3">
          <reference field="1" count="1" selected="0">
            <x v="47"/>
          </reference>
          <reference field="2" count="5">
            <x v="0"/>
            <x v="1"/>
            <x v="2"/>
            <x v="3"/>
            <x v="5"/>
          </reference>
          <reference field="9" count="1" selected="0">
            <x v="1"/>
          </reference>
        </references>
      </pivotArea>
    </format>
    <format dxfId="67">
      <pivotArea dataOnly="0" labelOnly="1" outline="0" fieldPosition="0">
        <references count="3">
          <reference field="1" count="1" selected="0">
            <x v="49"/>
          </reference>
          <reference field="2" count="4">
            <x v="0"/>
            <x v="1"/>
            <x v="3"/>
            <x v="9"/>
          </reference>
          <reference field="9" count="1" selected="0">
            <x v="1"/>
          </reference>
        </references>
      </pivotArea>
    </format>
    <format dxfId="66">
      <pivotArea dataOnly="0" labelOnly="1" outline="0" fieldPosition="0">
        <references count="3">
          <reference field="1" count="1" selected="0">
            <x v="50"/>
          </reference>
          <reference field="2" count="4">
            <x v="0"/>
            <x v="1"/>
            <x v="2"/>
            <x v="3"/>
          </reference>
          <reference field="9" count="1" selected="0">
            <x v="1"/>
          </reference>
        </references>
      </pivotArea>
    </format>
    <format dxfId="65">
      <pivotArea dataOnly="0" labelOnly="1" outline="0" fieldPosition="0">
        <references count="3">
          <reference field="1" count="1" selected="0">
            <x v="60"/>
          </reference>
          <reference field="2" count="11">
            <x v="0"/>
            <x v="1"/>
            <x v="2"/>
            <x v="3"/>
            <x v="4"/>
            <x v="5"/>
            <x v="6"/>
            <x v="7"/>
            <x v="8"/>
            <x v="9"/>
            <x v="13"/>
          </reference>
          <reference field="9" count="1" selected="0">
            <x v="1"/>
          </reference>
        </references>
      </pivotArea>
    </format>
    <format dxfId="64">
      <pivotArea dataOnly="0" labelOnly="1" outline="0" fieldPosition="0">
        <references count="3">
          <reference field="1" count="1" selected="0">
            <x v="63"/>
          </reference>
          <reference field="2" count="5">
            <x v="0"/>
            <x v="1"/>
            <x v="2"/>
            <x v="3"/>
            <x v="5"/>
          </reference>
          <reference field="9" count="1" selected="0">
            <x v="1"/>
          </reference>
        </references>
      </pivotArea>
    </format>
    <format dxfId="63">
      <pivotArea dataOnly="0" labelOnly="1" outline="0" fieldPosition="0">
        <references count="3">
          <reference field="1" count="1" selected="0">
            <x v="68"/>
          </reference>
          <reference field="2" count="9">
            <x v="1"/>
            <x v="3"/>
            <x v="4"/>
            <x v="5"/>
            <x v="6"/>
            <x v="7"/>
            <x v="8"/>
            <x v="9"/>
            <x v="13"/>
          </reference>
          <reference field="9" count="1" selected="0">
            <x v="1"/>
          </reference>
        </references>
      </pivotArea>
    </format>
    <format dxfId="62">
      <pivotArea dataOnly="0" labelOnly="1" outline="0" fieldPosition="0">
        <references count="3">
          <reference field="1" count="1" selected="0">
            <x v="81"/>
          </reference>
          <reference field="2" count="5">
            <x v="0"/>
            <x v="1"/>
            <x v="2"/>
            <x v="3"/>
            <x v="7"/>
          </reference>
          <reference field="9" count="1" selected="0">
            <x v="1"/>
          </reference>
        </references>
      </pivotArea>
    </format>
    <format dxfId="61">
      <pivotArea dataOnly="0" labelOnly="1" outline="0" fieldPosition="0">
        <references count="3">
          <reference field="1" count="1" selected="0">
            <x v="82"/>
          </reference>
          <reference field="2" count="4">
            <x v="0"/>
            <x v="1"/>
            <x v="2"/>
            <x v="9"/>
          </reference>
          <reference field="9" count="1" selected="0">
            <x v="1"/>
          </reference>
        </references>
      </pivotArea>
    </format>
    <format dxfId="60">
      <pivotArea dataOnly="0" labelOnly="1" outline="0" fieldPosition="0">
        <references count="3">
          <reference field="1" count="1" selected="0">
            <x v="84"/>
          </reference>
          <reference field="2" count="1">
            <x v="0"/>
          </reference>
          <reference field="9" count="1" selected="0">
            <x v="1"/>
          </reference>
        </references>
      </pivotArea>
    </format>
    <format dxfId="59">
      <pivotArea dataOnly="0" labelOnly="1" outline="0" fieldPosition="0">
        <references count="3">
          <reference field="1" count="1" selected="0">
            <x v="85"/>
          </reference>
          <reference field="2" count="4">
            <x v="0"/>
            <x v="1"/>
            <x v="2"/>
            <x v="3"/>
          </reference>
          <reference field="9" count="1" selected="0">
            <x v="1"/>
          </reference>
        </references>
      </pivotArea>
    </format>
    <format dxfId="58">
      <pivotArea dataOnly="0" labelOnly="1" outline="0" fieldPosition="0">
        <references count="3">
          <reference field="1" count="1" selected="0">
            <x v="94"/>
          </reference>
          <reference field="2" count="7">
            <x v="0"/>
            <x v="1"/>
            <x v="2"/>
            <x v="3"/>
            <x v="4"/>
            <x v="7"/>
            <x v="8"/>
          </reference>
          <reference field="9" count="1" selected="0">
            <x v="1"/>
          </reference>
        </references>
      </pivotArea>
    </format>
    <format dxfId="57">
      <pivotArea dataOnly="0" labelOnly="1" outline="0" fieldPosition="0">
        <references count="3">
          <reference field="1" count="1" selected="0">
            <x v="98"/>
          </reference>
          <reference field="2" count="5">
            <x v="0"/>
            <x v="1"/>
            <x v="2"/>
            <x v="3"/>
            <x v="4"/>
          </reference>
          <reference field="9" count="1" selected="0">
            <x v="1"/>
          </reference>
        </references>
      </pivotArea>
    </format>
    <format dxfId="56">
      <pivotArea dataOnly="0" labelOnly="1" outline="0" fieldPosition="0">
        <references count="3">
          <reference field="1" count="1" selected="0">
            <x v="101"/>
          </reference>
          <reference field="2" count="2">
            <x v="0"/>
            <x v="1"/>
          </reference>
          <reference field="9" count="1" selected="0">
            <x v="1"/>
          </reference>
        </references>
      </pivotArea>
    </format>
    <format dxfId="55">
      <pivotArea dataOnly="0" labelOnly="1" outline="0" fieldPosition="0">
        <references count="3">
          <reference field="1" count="1" selected="0">
            <x v="107"/>
          </reference>
          <reference field="2" count="1">
            <x v="0"/>
          </reference>
          <reference field="9" count="1" selected="0">
            <x v="1"/>
          </reference>
        </references>
      </pivotArea>
    </format>
    <format dxfId="54">
      <pivotArea dataOnly="0" labelOnly="1" outline="0" fieldPosition="0">
        <references count="3">
          <reference field="1" count="1" selected="0">
            <x v="108"/>
          </reference>
          <reference field="2" count="2">
            <x v="0"/>
            <x v="1"/>
          </reference>
          <reference field="9" count="1" selected="0">
            <x v="1"/>
          </reference>
        </references>
      </pivotArea>
    </format>
    <format dxfId="53">
      <pivotArea dataOnly="0" labelOnly="1" outline="0" fieldPosition="0">
        <references count="3">
          <reference field="1" count="1" selected="0">
            <x v="3"/>
          </reference>
          <reference field="2" count="1">
            <x v="0"/>
          </reference>
          <reference field="9" count="1" selected="0">
            <x v="2"/>
          </reference>
        </references>
      </pivotArea>
    </format>
    <format dxfId="52">
      <pivotArea dataOnly="0" labelOnly="1" outline="0" fieldPosition="0">
        <references count="3">
          <reference field="1" count="1" selected="0">
            <x v="4"/>
          </reference>
          <reference field="2" count="1">
            <x v="1"/>
          </reference>
          <reference field="9" count="1" selected="0">
            <x v="2"/>
          </reference>
        </references>
      </pivotArea>
    </format>
    <format dxfId="51">
      <pivotArea dataOnly="0" labelOnly="1" outline="0" fieldPosition="0">
        <references count="3">
          <reference field="1" count="1" selected="0">
            <x v="5"/>
          </reference>
          <reference field="2" count="2">
            <x v="0"/>
            <x v="3"/>
          </reference>
          <reference field="9" count="1" selected="0">
            <x v="2"/>
          </reference>
        </references>
      </pivotArea>
    </format>
    <format dxfId="50">
      <pivotArea dataOnly="0" labelOnly="1" outline="0" fieldPosition="0">
        <references count="3">
          <reference field="1" count="1" selected="0">
            <x v="9"/>
          </reference>
          <reference field="2" count="4">
            <x v="0"/>
            <x v="1"/>
            <x v="2"/>
            <x v="3"/>
          </reference>
          <reference field="9" count="1" selected="0">
            <x v="2"/>
          </reference>
        </references>
      </pivotArea>
    </format>
    <format dxfId="49">
      <pivotArea dataOnly="0" labelOnly="1" outline="0" fieldPosition="0">
        <references count="3">
          <reference field="1" count="1" selected="0">
            <x v="11"/>
          </reference>
          <reference field="2" count="1">
            <x v="2"/>
          </reference>
          <reference field="9" count="1" selected="0">
            <x v="2"/>
          </reference>
        </references>
      </pivotArea>
    </format>
    <format dxfId="48">
      <pivotArea dataOnly="0" labelOnly="1" outline="0" fieldPosition="0">
        <references count="3">
          <reference field="1" count="1" selected="0">
            <x v="17"/>
          </reference>
          <reference field="2" count="4">
            <x v="0"/>
            <x v="1"/>
            <x v="2"/>
            <x v="3"/>
          </reference>
          <reference field="9" count="1" selected="0">
            <x v="2"/>
          </reference>
        </references>
      </pivotArea>
    </format>
    <format dxfId="47">
      <pivotArea dataOnly="0" labelOnly="1" outline="0" fieldPosition="0">
        <references count="3">
          <reference field="1" count="1" selected="0">
            <x v="20"/>
          </reference>
          <reference field="2" count="4">
            <x v="0"/>
            <x v="1"/>
            <x v="2"/>
            <x v="3"/>
          </reference>
          <reference field="9" count="1" selected="0">
            <x v="2"/>
          </reference>
        </references>
      </pivotArea>
    </format>
    <format dxfId="46">
      <pivotArea dataOnly="0" labelOnly="1" outline="0" fieldPosition="0">
        <references count="3">
          <reference field="1" count="1" selected="0">
            <x v="21"/>
          </reference>
          <reference field="2" count="1">
            <x v="1"/>
          </reference>
          <reference field="9" count="1" selected="0">
            <x v="2"/>
          </reference>
        </references>
      </pivotArea>
    </format>
    <format dxfId="45">
      <pivotArea dataOnly="0" labelOnly="1" outline="0" fieldPosition="0">
        <references count="3">
          <reference field="1" count="1" selected="0">
            <x v="23"/>
          </reference>
          <reference field="2" count="9">
            <x v="0"/>
            <x v="1"/>
            <x v="2"/>
            <x v="3"/>
            <x v="4"/>
            <x v="5"/>
            <x v="6"/>
            <x v="9"/>
            <x v="13"/>
          </reference>
          <reference field="9" count="1" selected="0">
            <x v="2"/>
          </reference>
        </references>
      </pivotArea>
    </format>
    <format dxfId="44">
      <pivotArea dataOnly="0" labelOnly="1" outline="0" fieldPosition="0">
        <references count="3">
          <reference field="1" count="1" selected="0">
            <x v="25"/>
          </reference>
          <reference field="2" count="1">
            <x v="3"/>
          </reference>
          <reference field="9" count="1" selected="0">
            <x v="2"/>
          </reference>
        </references>
      </pivotArea>
    </format>
    <format dxfId="43">
      <pivotArea dataOnly="0" labelOnly="1" outline="0" fieldPosition="0">
        <references count="3">
          <reference field="1" count="1" selected="0">
            <x v="26"/>
          </reference>
          <reference field="2" count="6">
            <x v="0"/>
            <x v="1"/>
            <x v="2"/>
            <x v="3"/>
            <x v="5"/>
            <x v="9"/>
          </reference>
          <reference field="9" count="1" selected="0">
            <x v="2"/>
          </reference>
        </references>
      </pivotArea>
    </format>
    <format dxfId="42">
      <pivotArea dataOnly="0" labelOnly="1" outline="0" fieldPosition="0">
        <references count="3">
          <reference field="1" count="1" selected="0">
            <x v="29"/>
          </reference>
          <reference field="2" count="3">
            <x v="0"/>
            <x v="1"/>
            <x v="3"/>
          </reference>
          <reference field="9" count="1" selected="0">
            <x v="2"/>
          </reference>
        </references>
      </pivotArea>
    </format>
    <format dxfId="41">
      <pivotArea dataOnly="0" labelOnly="1" outline="0" fieldPosition="0">
        <references count="3">
          <reference field="1" count="1" selected="0">
            <x v="31"/>
          </reference>
          <reference field="2" count="3">
            <x v="1"/>
            <x v="2"/>
            <x v="3"/>
          </reference>
          <reference field="9" count="1" selected="0">
            <x v="2"/>
          </reference>
        </references>
      </pivotArea>
    </format>
    <format dxfId="40">
      <pivotArea dataOnly="0" labelOnly="1" outline="0" fieldPosition="0">
        <references count="3">
          <reference field="1" count="1" selected="0">
            <x v="34"/>
          </reference>
          <reference field="2" count="4">
            <x v="0"/>
            <x v="1"/>
            <x v="2"/>
            <x v="3"/>
          </reference>
          <reference field="9" count="1" selected="0">
            <x v="2"/>
          </reference>
        </references>
      </pivotArea>
    </format>
    <format dxfId="39">
      <pivotArea dataOnly="0" labelOnly="1" outline="0" fieldPosition="0">
        <references count="3">
          <reference field="1" count="1" selected="0">
            <x v="36"/>
          </reference>
          <reference field="2" count="2">
            <x v="1"/>
            <x v="3"/>
          </reference>
          <reference field="9" count="1" selected="0">
            <x v="2"/>
          </reference>
        </references>
      </pivotArea>
    </format>
    <format dxfId="38">
      <pivotArea dataOnly="0" labelOnly="1" outline="0" fieldPosition="0">
        <references count="3">
          <reference field="1" count="1" selected="0">
            <x v="37"/>
          </reference>
          <reference field="2" count="4">
            <x v="0"/>
            <x v="1"/>
            <x v="2"/>
            <x v="3"/>
          </reference>
          <reference field="9" count="1" selected="0">
            <x v="2"/>
          </reference>
        </references>
      </pivotArea>
    </format>
    <format dxfId="37">
      <pivotArea dataOnly="0" labelOnly="1" outline="0" fieldPosition="0">
        <references count="3">
          <reference field="1" count="1" selected="0">
            <x v="40"/>
          </reference>
          <reference field="2" count="3">
            <x v="1"/>
            <x v="2"/>
            <x v="3"/>
          </reference>
          <reference field="9" count="1" selected="0">
            <x v="2"/>
          </reference>
        </references>
      </pivotArea>
    </format>
    <format dxfId="36">
      <pivotArea dataOnly="0" labelOnly="1" outline="0" fieldPosition="0">
        <references count="3">
          <reference field="1" count="1" selected="0">
            <x v="41"/>
          </reference>
          <reference field="2" count="1">
            <x v="0"/>
          </reference>
          <reference field="9" count="1" selected="0">
            <x v="2"/>
          </reference>
        </references>
      </pivotArea>
    </format>
    <format dxfId="35">
      <pivotArea dataOnly="0" labelOnly="1" outline="0" fieldPosition="0">
        <references count="3">
          <reference field="1" count="1" selected="0">
            <x v="42"/>
          </reference>
          <reference field="2" count="6">
            <x v="0"/>
            <x v="1"/>
            <x v="2"/>
            <x v="3"/>
            <x v="5"/>
            <x v="7"/>
          </reference>
          <reference field="9" count="1" selected="0">
            <x v="2"/>
          </reference>
        </references>
      </pivotArea>
    </format>
    <format dxfId="34">
      <pivotArea dataOnly="0" labelOnly="1" outline="0" fieldPosition="0">
        <references count="3">
          <reference field="1" count="1" selected="0">
            <x v="43"/>
          </reference>
          <reference field="2" count="7">
            <x v="0"/>
            <x v="1"/>
            <x v="2"/>
            <x v="3"/>
            <x v="4"/>
            <x v="7"/>
            <x v="8"/>
          </reference>
          <reference field="9" count="1" selected="0">
            <x v="2"/>
          </reference>
        </references>
      </pivotArea>
    </format>
    <format dxfId="33">
      <pivotArea dataOnly="0" labelOnly="1" outline="0" fieldPosition="0">
        <references count="3">
          <reference field="1" count="1" selected="0">
            <x v="45"/>
          </reference>
          <reference field="2" count="5">
            <x v="0"/>
            <x v="1"/>
            <x v="2"/>
            <x v="3"/>
            <x v="5"/>
          </reference>
          <reference field="9" count="1" selected="0">
            <x v="2"/>
          </reference>
        </references>
      </pivotArea>
    </format>
    <format dxfId="32">
      <pivotArea dataOnly="0" labelOnly="1" outline="0" fieldPosition="0">
        <references count="3">
          <reference field="1" count="1" selected="0">
            <x v="48"/>
          </reference>
          <reference field="2" count="8">
            <x v="0"/>
            <x v="1"/>
            <x v="2"/>
            <x v="3"/>
            <x v="4"/>
            <x v="5"/>
            <x v="7"/>
            <x v="9"/>
          </reference>
          <reference field="9" count="1" selected="0">
            <x v="2"/>
          </reference>
        </references>
      </pivotArea>
    </format>
    <format dxfId="31">
      <pivotArea dataOnly="0" labelOnly="1" outline="0" fieldPosition="0">
        <references count="3">
          <reference field="1" count="1" selected="0">
            <x v="49"/>
          </reference>
          <reference field="2" count="4">
            <x v="0"/>
            <x v="1"/>
            <x v="2"/>
            <x v="3"/>
          </reference>
          <reference field="9" count="1" selected="0">
            <x v="2"/>
          </reference>
        </references>
      </pivotArea>
    </format>
    <format dxfId="30">
      <pivotArea dataOnly="0" labelOnly="1" outline="0" fieldPosition="0">
        <references count="3">
          <reference field="1" count="1" selected="0">
            <x v="52"/>
          </reference>
          <reference field="2" count="2">
            <x v="1"/>
            <x v="3"/>
          </reference>
          <reference field="9" count="1" selected="0">
            <x v="2"/>
          </reference>
        </references>
      </pivotArea>
    </format>
    <format dxfId="29">
      <pivotArea dataOnly="0" labelOnly="1" outline="0" fieldPosition="0">
        <references count="3">
          <reference field="1" count="1" selected="0">
            <x v="53"/>
          </reference>
          <reference field="2" count="3">
            <x v="0"/>
            <x v="1"/>
            <x v="3"/>
          </reference>
          <reference field="9" count="1" selected="0">
            <x v="2"/>
          </reference>
        </references>
      </pivotArea>
    </format>
    <format dxfId="28">
      <pivotArea dataOnly="0" labelOnly="1" outline="0" fieldPosition="0">
        <references count="3">
          <reference field="1" count="1" selected="0">
            <x v="54"/>
          </reference>
          <reference field="2" count="6">
            <x v="0"/>
            <x v="1"/>
            <x v="2"/>
            <x v="3"/>
            <x v="4"/>
            <x v="7"/>
          </reference>
          <reference field="9" count="1" selected="0">
            <x v="2"/>
          </reference>
        </references>
      </pivotArea>
    </format>
    <format dxfId="27">
      <pivotArea dataOnly="0" labelOnly="1" outline="0" fieldPosition="0">
        <references count="3">
          <reference field="1" count="1" selected="0">
            <x v="55"/>
          </reference>
          <reference field="2" count="5">
            <x v="0"/>
            <x v="1"/>
            <x v="2"/>
            <x v="3"/>
            <x v="5"/>
          </reference>
          <reference field="9" count="1" selected="0">
            <x v="2"/>
          </reference>
        </references>
      </pivotArea>
    </format>
    <format dxfId="26">
      <pivotArea dataOnly="0" labelOnly="1" outline="0" fieldPosition="0">
        <references count="3">
          <reference field="1" count="1" selected="0">
            <x v="61"/>
          </reference>
          <reference field="2" count="6">
            <x v="0"/>
            <x v="1"/>
            <x v="2"/>
            <x v="3"/>
            <x v="5"/>
            <x v="7"/>
          </reference>
          <reference field="9" count="1" selected="0">
            <x v="2"/>
          </reference>
        </references>
      </pivotArea>
    </format>
    <format dxfId="25">
      <pivotArea dataOnly="0" labelOnly="1" outline="0" fieldPosition="0">
        <references count="3">
          <reference field="1" count="1" selected="0">
            <x v="64"/>
          </reference>
          <reference field="2" count="8">
            <x v="0"/>
            <x v="1"/>
            <x v="2"/>
            <x v="3"/>
            <x v="4"/>
            <x v="5"/>
            <x v="7"/>
            <x v="13"/>
          </reference>
          <reference field="9" count="1" selected="0">
            <x v="2"/>
          </reference>
        </references>
      </pivotArea>
    </format>
    <format dxfId="24">
      <pivotArea dataOnly="0" labelOnly="1" outline="0" fieldPosition="0">
        <references count="3">
          <reference field="1" count="1" selected="0">
            <x v="65"/>
          </reference>
          <reference field="2" count="0"/>
          <reference field="9" count="1" selected="0">
            <x v="2"/>
          </reference>
        </references>
      </pivotArea>
    </format>
    <format dxfId="23">
      <pivotArea dataOnly="0" labelOnly="1" outline="0" fieldPosition="0">
        <references count="3">
          <reference field="1" count="1" selected="0">
            <x v="67"/>
          </reference>
          <reference field="2" count="1">
            <x v="6"/>
          </reference>
          <reference field="9" count="1" selected="0">
            <x v="2"/>
          </reference>
        </references>
      </pivotArea>
    </format>
    <format dxfId="22">
      <pivotArea dataOnly="0" labelOnly="1" outline="0" fieldPosition="0">
        <references count="3">
          <reference field="1" count="1" selected="0">
            <x v="69"/>
          </reference>
          <reference field="2" count="8">
            <x v="0"/>
            <x v="1"/>
            <x v="2"/>
            <x v="3"/>
            <x v="4"/>
            <x v="5"/>
            <x v="6"/>
            <x v="7"/>
          </reference>
          <reference field="9" count="1" selected="0">
            <x v="2"/>
          </reference>
        </references>
      </pivotArea>
    </format>
    <format dxfId="21">
      <pivotArea dataOnly="0" labelOnly="1" outline="0" fieldPosition="0">
        <references count="3">
          <reference field="1" count="1" selected="0">
            <x v="73"/>
          </reference>
          <reference field="2" count="1">
            <x v="0"/>
          </reference>
          <reference field="9" count="1" selected="0">
            <x v="2"/>
          </reference>
        </references>
      </pivotArea>
    </format>
    <format dxfId="20">
      <pivotArea dataOnly="0" labelOnly="1" outline="0" fieldPosition="0">
        <references count="3">
          <reference field="1" count="1" selected="0">
            <x v="74"/>
          </reference>
          <reference field="2" count="4">
            <x v="0"/>
            <x v="1"/>
            <x v="2"/>
            <x v="3"/>
          </reference>
          <reference field="9" count="1" selected="0">
            <x v="2"/>
          </reference>
        </references>
      </pivotArea>
    </format>
    <format dxfId="19">
      <pivotArea dataOnly="0" labelOnly="1" outline="0" fieldPosition="0">
        <references count="3">
          <reference field="1" count="1" selected="0">
            <x v="76"/>
          </reference>
          <reference field="2" count="3">
            <x v="0"/>
            <x v="1"/>
            <x v="3"/>
          </reference>
          <reference field="9" count="1" selected="0">
            <x v="2"/>
          </reference>
        </references>
      </pivotArea>
    </format>
    <format dxfId="18">
      <pivotArea dataOnly="0" labelOnly="1" outline="0" fieldPosition="0">
        <references count="3">
          <reference field="1" count="1" selected="0">
            <x v="77"/>
          </reference>
          <reference field="2" count="8">
            <x v="0"/>
            <x v="1"/>
            <x v="2"/>
            <x v="3"/>
            <x v="4"/>
            <x v="5"/>
            <x v="7"/>
            <x v="13"/>
          </reference>
          <reference field="9" count="1" selected="0">
            <x v="2"/>
          </reference>
        </references>
      </pivotArea>
    </format>
    <format dxfId="17">
      <pivotArea dataOnly="0" labelOnly="1" outline="0" fieldPosition="0">
        <references count="3">
          <reference field="1" count="1" selected="0">
            <x v="78"/>
          </reference>
          <reference field="2" count="4">
            <x v="0"/>
            <x v="1"/>
            <x v="2"/>
            <x v="3"/>
          </reference>
          <reference field="9" count="1" selected="0">
            <x v="2"/>
          </reference>
        </references>
      </pivotArea>
    </format>
    <format dxfId="16">
      <pivotArea dataOnly="0" labelOnly="1" outline="0" fieldPosition="0">
        <references count="3">
          <reference field="1" count="1" selected="0">
            <x v="80"/>
          </reference>
          <reference field="2" count="3">
            <x v="0"/>
            <x v="1"/>
            <x v="3"/>
          </reference>
          <reference field="9" count="1" selected="0">
            <x v="2"/>
          </reference>
        </references>
      </pivotArea>
    </format>
    <format dxfId="15">
      <pivotArea dataOnly="0" labelOnly="1" outline="0" fieldPosition="0">
        <references count="3">
          <reference field="1" count="1" selected="0">
            <x v="83"/>
          </reference>
          <reference field="2" count="4">
            <x v="0"/>
            <x v="1"/>
            <x v="2"/>
            <x v="3"/>
          </reference>
          <reference field="9" count="1" selected="0">
            <x v="2"/>
          </reference>
        </references>
      </pivotArea>
    </format>
    <format dxfId="14">
      <pivotArea dataOnly="0" labelOnly="1" outline="0" fieldPosition="0">
        <references count="3">
          <reference field="1" count="1" selected="0">
            <x v="87"/>
          </reference>
          <reference field="2" count="2">
            <x v="1"/>
            <x v="3"/>
          </reference>
          <reference field="9" count="1" selected="0">
            <x v="2"/>
          </reference>
        </references>
      </pivotArea>
    </format>
    <format dxfId="13">
      <pivotArea dataOnly="0" labelOnly="1" outline="0" fieldPosition="0">
        <references count="3">
          <reference field="1" count="1" selected="0">
            <x v="88"/>
          </reference>
          <reference field="2" count="4">
            <x v="0"/>
            <x v="1"/>
            <x v="2"/>
            <x v="3"/>
          </reference>
          <reference field="9" count="1" selected="0">
            <x v="2"/>
          </reference>
        </references>
      </pivotArea>
    </format>
    <format dxfId="12">
      <pivotArea dataOnly="0" labelOnly="1" outline="0" fieldPosition="0">
        <references count="3">
          <reference field="1" count="1" selected="0">
            <x v="92"/>
          </reference>
          <reference field="2" count="5">
            <x v="0"/>
            <x v="1"/>
            <x v="2"/>
            <x v="3"/>
            <x v="7"/>
          </reference>
          <reference field="9" count="1" selected="0">
            <x v="2"/>
          </reference>
        </references>
      </pivotArea>
    </format>
    <format dxfId="11">
      <pivotArea dataOnly="0" labelOnly="1" outline="0" fieldPosition="0">
        <references count="3">
          <reference field="1" count="1" selected="0">
            <x v="93"/>
          </reference>
          <reference field="2" count="2">
            <x v="0"/>
            <x v="1"/>
          </reference>
          <reference field="9" count="1" selected="0">
            <x v="2"/>
          </reference>
        </references>
      </pivotArea>
    </format>
    <format dxfId="10">
      <pivotArea dataOnly="0" labelOnly="1" outline="0" fieldPosition="0">
        <references count="3">
          <reference field="1" count="1" selected="0">
            <x v="97"/>
          </reference>
          <reference field="2" count="2">
            <x v="1"/>
            <x v="3"/>
          </reference>
          <reference field="9" count="1" selected="0">
            <x v="2"/>
          </reference>
        </references>
      </pivotArea>
    </format>
    <format dxfId="9">
      <pivotArea dataOnly="0" labelOnly="1" outline="0" fieldPosition="0">
        <references count="3">
          <reference field="1" count="1" selected="0">
            <x v="99"/>
          </reference>
          <reference field="2" count="7">
            <x v="0"/>
            <x v="1"/>
            <x v="2"/>
            <x v="3"/>
            <x v="4"/>
            <x v="5"/>
            <x v="7"/>
          </reference>
          <reference field="9" count="1" selected="0">
            <x v="2"/>
          </reference>
        </references>
      </pivotArea>
    </format>
    <format dxfId="8">
      <pivotArea dataOnly="0" labelOnly="1" outline="0" fieldPosition="0">
        <references count="3">
          <reference field="1" count="1" selected="0">
            <x v="100"/>
          </reference>
          <reference field="2" count="4">
            <x v="0"/>
            <x v="1"/>
            <x v="2"/>
            <x v="3"/>
          </reference>
          <reference field="9" count="1" selected="0">
            <x v="2"/>
          </reference>
        </references>
      </pivotArea>
    </format>
    <format dxfId="7">
      <pivotArea dataOnly="0" labelOnly="1" outline="0" fieldPosition="0">
        <references count="3">
          <reference field="1" count="1" selected="0">
            <x v="102"/>
          </reference>
          <reference field="2" count="4">
            <x v="0"/>
            <x v="1"/>
            <x v="2"/>
            <x v="3"/>
          </reference>
          <reference field="9" count="1" selected="0">
            <x v="2"/>
          </reference>
        </references>
      </pivotArea>
    </format>
    <format dxfId="6">
      <pivotArea dataOnly="0" labelOnly="1" outline="0" fieldPosition="0">
        <references count="3">
          <reference field="1" count="1" selected="0">
            <x v="104"/>
          </reference>
          <reference field="2" count="2">
            <x v="0"/>
            <x v="2"/>
          </reference>
          <reference field="9" count="1" selected="0">
            <x v="2"/>
          </reference>
        </references>
      </pivotArea>
    </format>
    <format dxfId="5">
      <pivotArea dataOnly="0" labelOnly="1" outline="0" fieldPosition="0">
        <references count="3">
          <reference field="1" count="1" selected="0">
            <x v="105"/>
          </reference>
          <reference field="2" count="1">
            <x v="9"/>
          </reference>
          <reference field="9" count="1" selected="0">
            <x v="2"/>
          </reference>
        </references>
      </pivotArea>
    </format>
    <format dxfId="4">
      <pivotArea dataOnly="0" labelOnly="1" outline="0" axis="axisValues" fieldPosition="0"/>
    </format>
    <format dxfId="3">
      <pivotArea dataOnly="0" outline="0" fieldPosition="0">
        <references count="1">
          <reference field="1" count="0" defaultSubtotal="1"/>
        </references>
      </pivotArea>
    </format>
    <format dxfId="2">
      <pivotArea dataOnly="0" outline="0" fieldPosition="0">
        <references count="1">
          <reference field="1" count="0" defaultSubtotal="1"/>
        </references>
      </pivotArea>
    </format>
    <format dxfId="1">
      <pivotArea dataOnly="0" outline="0" fieldPosition="0">
        <references count="1">
          <reference field="9" count="0" defaultSubtotal="1"/>
        </references>
      </pivotArea>
    </format>
    <format dxfId="0">
      <pivotArea dataOnly="0" grandRow="1" outline="0" fieldPosition="0"/>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t_Name" xr10:uid="{A4E5B8F5-5FFB-4710-A13A-4B65F85D0962}" sourceName="Rt Name">
  <pivotTables>
    <pivotTable tabId="14" name="PivotTable1"/>
  </pivotTables>
  <data>
    <tabular pivotCacheId="435849693">
      <items count="109">
        <i x="56" s="1"/>
        <i x="35" s="1"/>
        <i x="52" s="1"/>
        <i x="65" s="1"/>
        <i x="101" s="1"/>
        <i x="102" s="1"/>
        <i x="84" s="1"/>
        <i x="91" s="1"/>
        <i x="49" s="1"/>
        <i x="16" s="1"/>
        <i x="66" s="1"/>
        <i x="100" s="1"/>
        <i x="103" s="1"/>
        <i x="80" s="1"/>
        <i x="105" s="1"/>
        <i x="74" s="1"/>
        <i x="2" s="1"/>
        <i x="13" s="1"/>
        <i x="67" s="1"/>
        <i x="20" s="1"/>
        <i x="39" s="1"/>
        <i x="92" s="1"/>
        <i x="95" s="1"/>
        <i x="24" s="1"/>
        <i x="77" s="1"/>
        <i x="97" s="1"/>
        <i x="4" s="1"/>
        <i x="23" s="1"/>
        <i x="72" s="1"/>
        <i x="75" s="1"/>
        <i x="87" s="1"/>
        <i x="3" s="1"/>
        <i x="31" s="1"/>
        <i x="36" s="1"/>
        <i x="29" s="1"/>
        <i x="59" s="1"/>
        <i x="90" s="1"/>
        <i x="26" s="1"/>
        <i x="53" s="1"/>
        <i x="81" s="1"/>
        <i x="25" s="1"/>
        <i x="73" s="1"/>
        <i x="43" s="1"/>
        <i x="42" s="1"/>
        <i x="68" s="1"/>
        <i x="10" s="1"/>
        <i x="47" s="1"/>
        <i x="50" s="1"/>
        <i x="30" s="1"/>
        <i x="7" s="1"/>
        <i x="45" s="1"/>
        <i x="88" s="1"/>
        <i x="94" s="1"/>
        <i x="60" s="1"/>
        <i x="11" s="1"/>
        <i x="12" s="1"/>
        <i x="76" s="1"/>
        <i x="21" s="1"/>
        <i x="86" s="1"/>
        <i x="108" s="1"/>
        <i x="54" s="1"/>
        <i x="5" s="1"/>
        <i x="58" s="1"/>
        <i x="0" s="1"/>
        <i x="40" s="1"/>
        <i x="1" s="1"/>
        <i x="19" s="1"/>
        <i x="106" s="1"/>
        <i x="99" s="1"/>
        <i x="41" s="1"/>
        <i x="64" s="1"/>
        <i x="37" s="1"/>
        <i x="32" s="1"/>
        <i x="69" s="1"/>
        <i x="18" s="1"/>
        <i x="79" s="1"/>
        <i x="61" s="1"/>
        <i x="8" s="1"/>
        <i x="17" s="1"/>
        <i x="34" s="1"/>
        <i x="62" s="1"/>
        <i x="46" s="1"/>
        <i x="51" s="1"/>
        <i x="27" s="1"/>
        <i x="63" s="1"/>
        <i x="55" s="1"/>
        <i x="82" s="1"/>
        <i x="96" s="1"/>
        <i x="14" s="1"/>
        <i x="78" s="1"/>
        <i x="104" s="1"/>
        <i x="83" s="1"/>
        <i x="6" s="1"/>
        <i x="70" s="1"/>
        <i x="48" s="1"/>
        <i x="38" s="1"/>
        <i x="57" s="1"/>
        <i x="93" s="1"/>
        <i x="44" s="1"/>
        <i x="9" s="1"/>
        <i x="15" s="1"/>
        <i x="89" s="1"/>
        <i x="85" s="1"/>
        <i x="22" s="1"/>
        <i x="28" s="1"/>
        <i x="107" s="1"/>
        <i x="33" s="1"/>
        <i x="98" s="1"/>
        <i x="7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7DDDF5AF-7C89-428D-88A6-DE637E29E7B8}" sourceName="Model">
  <pivotTables>
    <pivotTable tabId="14" name="PivotTable1"/>
  </pivotTables>
  <data>
    <tabular pivotCacheId="435849693">
      <items count="14">
        <i x="2" s="1"/>
        <i x="4" s="1"/>
        <i x="0" s="1"/>
        <i x="7" s="1"/>
        <i x="3" s="1"/>
        <i x="5" s="1"/>
        <i x="11" s="1"/>
        <i x="6" s="1"/>
        <i x="12" s="1"/>
        <i x="13" s="1"/>
        <i x="8" s="1"/>
        <i x="1"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M" xr10:uid="{AAD4DCA4-BEC9-4C92-81A9-68253B58AF9C}" sourceName="VM">
  <pivotTables>
    <pivotTable tabId="14" name="PivotTable1"/>
  </pivotTables>
  <data>
    <tabular pivotCacheId="43584969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t Name" xr10:uid="{5C56FDC3-90DA-4516-9DCA-B047A4392D36}" cache="Slicer_Rt_Name" caption="Rt Name" startItem="24" style="SlicerStyleLight1 2" rowHeight="234950"/>
  <slicer name="Model" xr10:uid="{4FAF47DF-6AA2-4DB1-98EF-0AF3DFF8181B}" cache="Slicer_Model" caption="Model" startItem="2" columnCount="2" style="SlicerStyleLight1 2" rowHeight="234950"/>
  <slicer name="VM" xr10:uid="{78213B3D-52A1-4D26-B2BA-D3A96238D487}" cache="Slicer_VM" caption="VM"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519C95-5912-4E62-BD5D-66A701C2D29E}" name="Table4" displayName="Table4" ref="A1:D80" totalsRowShown="0" headerRowDxfId="377" headerRowBorderDxfId="376" tableBorderDxfId="375" totalsRowBorderDxfId="374">
  <autoFilter ref="A1:D80" xr:uid="{00000000-0001-0000-0000-000000000000}"/>
  <tableColumns count="4">
    <tableColumn id="1" xr3:uid="{9816AF2F-A4B7-4617-B148-3B7A56EB017D}" name="Date" dataDxfId="373"/>
    <tableColumn id="2" xr3:uid="{FA90F1D6-FED1-406B-B00F-C9D94E967AEF}" name="Region" dataDxfId="372"/>
    <tableColumn id="3" xr3:uid="{7E305BFF-A2FE-45EF-A497-1AE65A12CCB5}" name="Product" dataDxfId="371"/>
    <tableColumn id="4" xr3:uid="{F4B0F72D-90A3-430A-B123-F94551B837E4}" name="Sales Amount" dataDxfId="37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1EF0A1-28DA-4D6E-AB90-20678DDD5AE6}" name="Table5" displayName="Table5" ref="A1:D151" totalsRowShown="0" headerRowDxfId="369" headerRowBorderDxfId="368" tableBorderDxfId="367" totalsRowBorderDxfId="366">
  <autoFilter ref="A1:D151" xr:uid="{00000000-0001-0000-0100-000000000000}"/>
  <tableColumns count="4">
    <tableColumn id="1" xr3:uid="{D982612B-184B-45DE-8F58-4F358DD6FF5D}" name="Date" dataDxfId="365"/>
    <tableColumn id="2" xr3:uid="{3BC39011-549B-45F1-9880-440F701E4114}" name="Region" dataDxfId="364"/>
    <tableColumn id="3" xr3:uid="{5BA391DD-A685-47F3-BC22-B3107E43A219}" name="Product" dataDxfId="363"/>
    <tableColumn id="4" xr3:uid="{5F2C766E-DF8C-431A-ADFE-A15E912B5ED0}" name="Sales Amount" dataDxfId="36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0C0B39A-C9FF-485E-9F87-7B7332347505}" name="Sales_data" displayName="Sales_data" ref="A1:F100" totalsRowShown="0" headerRowDxfId="361" headerRowBorderDxfId="360" tableBorderDxfId="359" totalsRowBorderDxfId="358">
  <autoFilter ref="A1:F100" xr:uid="{00000000-0001-0000-0200-000000000000}"/>
  <tableColumns count="6">
    <tableColumn id="1" xr3:uid="{38B80026-C1E0-4DC8-8B5B-B0CB8BF4F632}" name="Invoice No" dataDxfId="357"/>
    <tableColumn id="2" xr3:uid="{B704287B-AE69-4D6D-B9FC-D7474A586603}" name="Customer ID" dataDxfId="356"/>
    <tableColumn id="3" xr3:uid="{5A7AC3C4-A114-4C82-B2CB-060B8E5BB3EC}" name="Customer Name" dataDxfId="355">
      <calculatedColumnFormula>_xlfn.XLOOKUP(Sales_data[[#This Row],[Customer ID]],Customer_master[Customer ID],Customer_master[Customer Name],"Customer Not Found")</calculatedColumnFormula>
    </tableColumn>
    <tableColumn id="4" xr3:uid="{44121164-EAD7-4CD5-A13A-412471E02DF9}" name="Region " dataDxfId="354">
      <calculatedColumnFormula>_xlfn.XLOOKUP(Sales_data[[#This Row],[Customer ID]],Customer_master[Customer ID],Customer_master[Region],"Customer Not Found")</calculatedColumnFormula>
    </tableColumn>
    <tableColumn id="5" xr3:uid="{5FFD8FE8-FDEB-466E-9CF2-B75C8E056B09}" name="Order Qty" dataDxfId="353"/>
    <tableColumn id="6" xr3:uid="{4446EE9D-1F21-4548-81FB-EE8879C358EA}" name="Unit Price" dataDxfId="35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B9F4D0-E832-4A44-B1ED-CAD93D6C7562}" name="Customer_master" displayName="Customer_master" ref="A1:C31" totalsRowShown="0" headerRowDxfId="351" headerRowBorderDxfId="350" tableBorderDxfId="349" totalsRowBorderDxfId="348">
  <autoFilter ref="A1:C31" xr:uid="{95B9F4D0-E832-4A44-B1ED-CAD93D6C7562}"/>
  <tableColumns count="3">
    <tableColumn id="1" xr3:uid="{AFEAB04F-B163-43B5-896A-533020675C35}" name="Customer ID" dataDxfId="347"/>
    <tableColumn id="2" xr3:uid="{C3F2C9BC-3962-45B7-BFD1-F3704C6E8D65}" name="Customer Name" dataDxfId="346"/>
    <tableColumn id="3" xr3:uid="{B843F672-9007-4DB0-B79B-A57C118D54D9}" name="Region" dataDxfId="345"/>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5F80C1-AD53-4978-948E-B3E4B3356341}" name="EmployeeAttendance" displayName="EmployeeAttendance" ref="A2:D152" totalsRowShown="0" headerRowDxfId="344" headerRowBorderDxfId="343" tableBorderDxfId="342" totalsRowBorderDxfId="341">
  <autoFilter ref="A2:D152" xr:uid="{655F80C1-AD53-4978-948E-B3E4B3356341}"/>
  <tableColumns count="4">
    <tableColumn id="1" xr3:uid="{348937D1-D9BA-4D9F-A563-0348FBD2D445}" name="Employee ID" dataDxfId="340"/>
    <tableColumn id="2" xr3:uid="{C2CFAF5B-181F-4335-93BB-312F446683CD}" name="Emp Name" dataDxfId="339">
      <calculatedColumnFormula>_xlfn.XLOOKUP(EmployeeAttendance[[#This Row],[Employee ID]],EmployeeMaster[Employee ID],EmployeeMaster[Employee Name],"Invalid Employee ID")</calculatedColumnFormula>
    </tableColumn>
    <tableColumn id="3" xr3:uid="{D02380F8-8A4D-43C1-8E8A-046910125086}" name="Department" dataDxfId="338">
      <calculatedColumnFormula>_xlfn.XLOOKUP(EmployeeAttendance[[#This Row],[Employee ID]],EmployeeMaster[Employee ID],EmployeeMaster[Department],"Invalid Employee ID")</calculatedColumnFormula>
    </tableColumn>
    <tableColumn id="4" xr3:uid="{4BD0D9F9-3F51-4B7E-BC7D-4AE63F08925A}" name="Salary" dataDxfId="337">
      <calculatedColumnFormula>_xlfn.XLOOKUP(EmployeeAttendance[[#This Row],[Employee ID]],EmployeeMaster[Employee ID],EmployeeMaster[Salary],"Invalid Employee ID",0,-1)</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ABFB08-112D-4783-971D-B6B71D7D86F4}" name="EmployeeMaster" displayName="EmployeeMaster" ref="B1:E34" totalsRowShown="0" headerRowDxfId="336" headerRowBorderDxfId="335" tableBorderDxfId="334" totalsRowBorderDxfId="333">
  <autoFilter ref="B1:E34" xr:uid="{09ABFB08-112D-4783-971D-B6B71D7D86F4}"/>
  <tableColumns count="4">
    <tableColumn id="1" xr3:uid="{D2927BA0-E6D9-4320-B7D4-5F732E8B2E67}" name="Employee ID" dataDxfId="332"/>
    <tableColumn id="2" xr3:uid="{6E490E2A-F68C-47DD-9083-E263E7C90053}" name="Employee Name" dataDxfId="331"/>
    <tableColumn id="3" xr3:uid="{3AA78303-3A63-43F0-ABE7-BDF322B5EC74}" name="Department" dataDxfId="330"/>
    <tableColumn id="4" xr3:uid="{77B78117-03E1-486A-B3FA-FA08AD70E122}" name="Salary" dataDxfId="32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299501A-C332-40BF-8C7F-2695B7D8A495}" name="Table11" displayName="Table11" ref="A2:D152" totalsRowShown="0" headerRowDxfId="328" headerRowBorderDxfId="327" tableBorderDxfId="326" totalsRowBorderDxfId="325">
  <autoFilter ref="A2:D152" xr:uid="{0299501A-C332-40BF-8C7F-2695B7D8A495}"/>
  <tableColumns count="4">
    <tableColumn id="1" xr3:uid="{8F0F63E7-289E-470C-8720-DE283608E0F3}" name="Employee ID" dataDxfId="324"/>
    <tableColumn id="2" xr3:uid="{AD84600B-5029-449F-963E-E5F05BB81A7C}" name="Department" dataDxfId="323"/>
    <tableColumn id="3" xr3:uid="{6AACD323-1421-4F3A-871C-58EFB0C5FD18}" name="Status" dataDxfId="322"/>
    <tableColumn id="4" xr3:uid="{18816113-82D2-4DBB-9A50-F47663E2A903}" name="Date" dataDxfId="321"/>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740D4B5-9CBF-4742-ACFC-6DC146B74F10}" name="Table12" displayName="Table12" ref="A1:C151" totalsRowShown="0" headerRowDxfId="320" headerRowBorderDxfId="319" tableBorderDxfId="318" totalsRowBorderDxfId="317">
  <autoFilter ref="A1:C151" xr:uid="{9740D4B5-9CBF-4742-ACFC-6DC146B74F10}"/>
  <tableColumns count="3">
    <tableColumn id="1" xr3:uid="{2C1FDD68-B429-4D09-BEA4-DE7B7930CF42}" name="Region" dataDxfId="316"/>
    <tableColumn id="2" xr3:uid="{34FE2A6E-1E7D-4414-8142-CC259283E760}" name="Product" dataDxfId="315"/>
    <tableColumn id="3" xr3:uid="{0DC3D167-A0DF-4B9C-9A4F-04AB084671BB}" name="Sales Amount" dataDxfId="3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B4FE671-0E5E-43D9-B723-CF6E69DE3FFF}" name="Table13" displayName="Table13" ref="A2:E152" totalsRowShown="0" headerRowDxfId="313" headerRowBorderDxfId="312" tableBorderDxfId="311" totalsRowBorderDxfId="310">
  <autoFilter ref="A2:E152" xr:uid="{0B4FE671-0E5E-43D9-B723-CF6E69DE3FFF}"/>
  <tableColumns count="5">
    <tableColumn id="1" xr3:uid="{0A2AE2DD-6465-424E-979B-67533B4DBA11}" name="Employee" dataDxfId="309"/>
    <tableColumn id="2" xr3:uid="{34C21A2A-F157-49D1-8DA2-72E59DC551F5}" name="Department" dataDxfId="308"/>
    <tableColumn id="3" xr3:uid="{2C3CDA72-ED70-4EBF-9BF0-0F4623E19BA1}" name="Gender" dataDxfId="307"/>
    <tableColumn id="4" xr3:uid="{2BBC043E-0BFD-4AAE-B6D7-4D9F0583F1BA}" name="Experience" dataDxfId="306"/>
    <tableColumn id="5" xr3:uid="{EB8E1F74-9E5A-4086-8AAC-678617340A18}" name="Salary" dataDxfId="305"/>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95E64B-BD99-4B46-8042-2AE58FBCC694}" name="Table1" displayName="Table1" ref="A1:J436" totalsRowShown="0" headerRowDxfId="304" headerRowBorderDxfId="303" tableBorderDxfId="302">
  <autoFilter ref="A1:J436" xr:uid="{0DF101E4-EEAC-4265-A601-626022A25F9B}"/>
  <tableColumns count="10">
    <tableColumn id="1" xr3:uid="{88B966A7-4D75-4B9D-B962-7E64C927849D}" name="RT Code" dataDxfId="301"/>
    <tableColumn id="2" xr3:uid="{B5696BDF-6F13-4E14-AFA8-A3778450735B}" name="Rt Name" dataDxfId="300"/>
    <tableColumn id="3" xr3:uid="{087A9DF9-7073-4E80-9CE6-645964D8C0C4}" name="Model" dataDxfId="299"/>
    <tableColumn id="4" xr3:uid="{D7D0EB9E-C4B4-44E7-BACC-F83049FA3BA0}" name="Installation Date" dataDxfId="298"/>
    <tableColumn id="5" xr3:uid="{166ED07C-5BF0-40E0-A8E8-182014CF64AA}" name="Qty" dataDxfId="297"/>
    <tableColumn id="6" xr3:uid="{9B1167F7-A5F4-43AA-9609-BA2456D3278D}" name="Year" dataDxfId="296"/>
    <tableColumn id="7" xr3:uid="{FF661FC2-6A02-490A-B4C7-655EEAE88F05}" name="RT Type" dataDxfId="295"/>
    <tableColumn id="8" xr3:uid="{75F88497-4D1C-48F5-974E-7F450B4120EC}" name="Status" dataDxfId="294"/>
    <tableColumn id="9" xr3:uid="{83A17956-C89F-4D1A-A7D2-A4314A27E7C0}" name="VMS" dataDxfId="293"/>
    <tableColumn id="10" xr3:uid="{95841FFB-238D-4FC1-836F-145BB90EA9FB}" name="VM" dataDxfId="29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0"/>
  <sheetViews>
    <sheetView workbookViewId="0">
      <selection activeCell="G55" sqref="G55"/>
    </sheetView>
  </sheetViews>
  <sheetFormatPr defaultColWidth="18" defaultRowHeight="21" customHeight="1" x14ac:dyDescent="0.3"/>
  <cols>
    <col min="1" max="1" width="18" style="2"/>
    <col min="2" max="4" width="18" style="3"/>
    <col min="6" max="6" width="107.44140625" customWidth="1"/>
  </cols>
  <sheetData>
    <row r="1" spans="1:6" ht="21" customHeight="1" x14ac:dyDescent="0.3">
      <c r="A1" s="39" t="s">
        <v>0</v>
      </c>
      <c r="B1" s="40" t="s">
        <v>1</v>
      </c>
      <c r="C1" s="40" t="s">
        <v>2</v>
      </c>
      <c r="D1" s="41" t="s">
        <v>3</v>
      </c>
    </row>
    <row r="2" spans="1:6" ht="21" customHeight="1" x14ac:dyDescent="0.3">
      <c r="A2" s="32">
        <v>46023</v>
      </c>
      <c r="B2" s="5" t="s">
        <v>4</v>
      </c>
      <c r="C2" s="5" t="s">
        <v>5</v>
      </c>
      <c r="D2" s="33">
        <v>82859</v>
      </c>
    </row>
    <row r="3" spans="1:6" ht="21" customHeight="1" x14ac:dyDescent="0.3">
      <c r="A3" s="32">
        <v>46024</v>
      </c>
      <c r="B3" s="5" t="s">
        <v>4</v>
      </c>
      <c r="C3" s="5" t="s">
        <v>6</v>
      </c>
      <c r="D3" s="33">
        <v>93040</v>
      </c>
      <c r="E3" s="84" t="s">
        <v>355</v>
      </c>
      <c r="F3" s="6" t="s">
        <v>354</v>
      </c>
    </row>
    <row r="4" spans="1:6" ht="21" customHeight="1" x14ac:dyDescent="0.3">
      <c r="A4" s="32">
        <v>46025</v>
      </c>
      <c r="B4" s="5" t="s">
        <v>7</v>
      </c>
      <c r="C4" s="5" t="s">
        <v>8</v>
      </c>
      <c r="D4" s="33">
        <v>114625</v>
      </c>
    </row>
    <row r="5" spans="1:6" ht="21" customHeight="1" x14ac:dyDescent="0.3">
      <c r="A5" s="32">
        <v>46026</v>
      </c>
      <c r="B5" s="5" t="s">
        <v>7</v>
      </c>
      <c r="C5" s="5" t="s">
        <v>6</v>
      </c>
      <c r="D5" s="33">
        <v>42377</v>
      </c>
      <c r="E5" s="81" t="s">
        <v>356</v>
      </c>
      <c r="F5" s="83">
        <f>SUMIFS(Table4[Sales Amount],Table4[Region],"Dhaka",Table4[Sales Amount],"&gt;50000")</f>
        <v>1000149</v>
      </c>
    </row>
    <row r="6" spans="1:6" ht="21" customHeight="1" x14ac:dyDescent="0.3">
      <c r="A6" s="32">
        <v>46027</v>
      </c>
      <c r="B6" s="5" t="s">
        <v>9</v>
      </c>
      <c r="C6" s="5" t="s">
        <v>10</v>
      </c>
      <c r="D6" s="33">
        <v>103374</v>
      </c>
    </row>
    <row r="7" spans="1:6" ht="21" customHeight="1" x14ac:dyDescent="0.3">
      <c r="A7" s="32">
        <v>46028</v>
      </c>
      <c r="B7" s="5" t="s">
        <v>11</v>
      </c>
      <c r="C7" s="5" t="s">
        <v>10</v>
      </c>
      <c r="D7" s="33">
        <v>88696</v>
      </c>
      <c r="E7" s="87" t="s">
        <v>743</v>
      </c>
      <c r="F7" s="6" t="s">
        <v>742</v>
      </c>
    </row>
    <row r="8" spans="1:6" ht="21" customHeight="1" x14ac:dyDescent="0.3">
      <c r="A8" s="32">
        <v>46029</v>
      </c>
      <c r="B8" s="5" t="s">
        <v>11</v>
      </c>
      <c r="C8" s="5" t="s">
        <v>10</v>
      </c>
      <c r="D8" s="33">
        <v>55720</v>
      </c>
    </row>
    <row r="9" spans="1:6" ht="21" customHeight="1" x14ac:dyDescent="0.3">
      <c r="A9" s="32">
        <v>46030</v>
      </c>
      <c r="B9" s="5" t="s">
        <v>7</v>
      </c>
      <c r="C9" s="5" t="s">
        <v>10</v>
      </c>
      <c r="D9" s="33">
        <v>45513</v>
      </c>
    </row>
    <row r="10" spans="1:6" ht="21" customHeight="1" x14ac:dyDescent="0.3">
      <c r="A10" s="32">
        <v>46031</v>
      </c>
      <c r="B10" s="5" t="s">
        <v>7</v>
      </c>
      <c r="C10" s="5" t="s">
        <v>6</v>
      </c>
      <c r="D10" s="33">
        <v>44539</v>
      </c>
    </row>
    <row r="11" spans="1:6" ht="21" customHeight="1" x14ac:dyDescent="0.3">
      <c r="A11" s="32">
        <v>46032</v>
      </c>
      <c r="B11" s="5" t="s">
        <v>4</v>
      </c>
      <c r="C11" s="5" t="s">
        <v>5</v>
      </c>
      <c r="D11" s="33">
        <v>80834</v>
      </c>
    </row>
    <row r="12" spans="1:6" ht="21" customHeight="1" x14ac:dyDescent="0.3">
      <c r="A12" s="32">
        <v>46033</v>
      </c>
      <c r="B12" s="5" t="s">
        <v>4</v>
      </c>
      <c r="C12" s="5" t="s">
        <v>8</v>
      </c>
      <c r="D12" s="33">
        <v>35446</v>
      </c>
    </row>
    <row r="13" spans="1:6" ht="21" customHeight="1" x14ac:dyDescent="0.3">
      <c r="A13" s="32">
        <v>46034</v>
      </c>
      <c r="B13" s="5" t="s">
        <v>11</v>
      </c>
      <c r="C13" s="5" t="s">
        <v>10</v>
      </c>
      <c r="D13" s="33">
        <v>39524</v>
      </c>
    </row>
    <row r="14" spans="1:6" ht="21" customHeight="1" x14ac:dyDescent="0.3">
      <c r="A14" s="32">
        <v>46035</v>
      </c>
      <c r="B14" s="5" t="s">
        <v>4</v>
      </c>
      <c r="C14" s="5" t="s">
        <v>8</v>
      </c>
      <c r="D14" s="33">
        <v>104831</v>
      </c>
    </row>
    <row r="15" spans="1:6" ht="21" customHeight="1" x14ac:dyDescent="0.3">
      <c r="A15" s="32">
        <v>46036</v>
      </c>
      <c r="B15" s="5" t="s">
        <v>4</v>
      </c>
      <c r="C15" s="5" t="s">
        <v>10</v>
      </c>
      <c r="D15" s="33">
        <v>30283</v>
      </c>
    </row>
    <row r="16" spans="1:6" ht="21" customHeight="1" x14ac:dyDescent="0.3">
      <c r="A16" s="32">
        <v>46037</v>
      </c>
      <c r="B16" s="5" t="s">
        <v>4</v>
      </c>
      <c r="C16" s="5" t="s">
        <v>5</v>
      </c>
      <c r="D16" s="33">
        <v>57058</v>
      </c>
    </row>
    <row r="17" spans="1:4" ht="21" customHeight="1" x14ac:dyDescent="0.3">
      <c r="A17" s="32">
        <v>46038</v>
      </c>
      <c r="B17" s="5" t="s">
        <v>4</v>
      </c>
      <c r="C17" s="5" t="s">
        <v>6</v>
      </c>
      <c r="D17" s="33">
        <v>43613</v>
      </c>
    </row>
    <row r="18" spans="1:4" ht="21" customHeight="1" x14ac:dyDescent="0.3">
      <c r="A18" s="32">
        <v>46039</v>
      </c>
      <c r="B18" s="5" t="s">
        <v>4</v>
      </c>
      <c r="C18" s="5" t="s">
        <v>6</v>
      </c>
      <c r="D18" s="33">
        <v>29530</v>
      </c>
    </row>
    <row r="19" spans="1:4" ht="21" customHeight="1" x14ac:dyDescent="0.3">
      <c r="A19" s="32">
        <v>46040</v>
      </c>
      <c r="B19" s="5" t="s">
        <v>9</v>
      </c>
      <c r="C19" s="5" t="s">
        <v>8</v>
      </c>
      <c r="D19" s="33">
        <v>33235</v>
      </c>
    </row>
    <row r="20" spans="1:4" ht="21" customHeight="1" x14ac:dyDescent="0.3">
      <c r="A20" s="32">
        <v>46041</v>
      </c>
      <c r="B20" s="5" t="s">
        <v>9</v>
      </c>
      <c r="C20" s="5" t="s">
        <v>10</v>
      </c>
      <c r="D20" s="33">
        <v>48011</v>
      </c>
    </row>
    <row r="21" spans="1:4" ht="21" customHeight="1" x14ac:dyDescent="0.3">
      <c r="A21" s="32">
        <v>46042</v>
      </c>
      <c r="B21" s="5" t="s">
        <v>11</v>
      </c>
      <c r="C21" s="5" t="s">
        <v>10</v>
      </c>
      <c r="D21" s="33">
        <v>75620</v>
      </c>
    </row>
    <row r="22" spans="1:4" ht="21" customHeight="1" x14ac:dyDescent="0.3">
      <c r="A22" s="32">
        <v>46043</v>
      </c>
      <c r="B22" s="5" t="s">
        <v>11</v>
      </c>
      <c r="C22" s="5" t="s">
        <v>6</v>
      </c>
      <c r="D22" s="33">
        <v>36282</v>
      </c>
    </row>
    <row r="23" spans="1:4" ht="21" customHeight="1" x14ac:dyDescent="0.3">
      <c r="A23" s="32">
        <v>46044</v>
      </c>
      <c r="B23" s="5" t="s">
        <v>11</v>
      </c>
      <c r="C23" s="5" t="s">
        <v>5</v>
      </c>
      <c r="D23" s="33">
        <v>37460</v>
      </c>
    </row>
    <row r="24" spans="1:4" ht="21" customHeight="1" x14ac:dyDescent="0.3">
      <c r="A24" s="32">
        <v>46045</v>
      </c>
      <c r="B24" s="5" t="s">
        <v>11</v>
      </c>
      <c r="C24" s="5" t="s">
        <v>10</v>
      </c>
      <c r="D24" s="33">
        <v>107626</v>
      </c>
    </row>
    <row r="25" spans="1:4" ht="21" customHeight="1" x14ac:dyDescent="0.3">
      <c r="A25" s="32">
        <v>46046</v>
      </c>
      <c r="B25" s="5" t="s">
        <v>4</v>
      </c>
      <c r="C25" s="5" t="s">
        <v>8</v>
      </c>
      <c r="D25" s="33">
        <v>48813</v>
      </c>
    </row>
    <row r="26" spans="1:4" ht="21" customHeight="1" x14ac:dyDescent="0.3">
      <c r="A26" s="32">
        <v>46047</v>
      </c>
      <c r="B26" s="5" t="s">
        <v>11</v>
      </c>
      <c r="C26" s="5" t="s">
        <v>8</v>
      </c>
      <c r="D26" s="33">
        <v>38287</v>
      </c>
    </row>
    <row r="27" spans="1:4" ht="21" customHeight="1" x14ac:dyDescent="0.3">
      <c r="A27" s="32">
        <v>46048</v>
      </c>
      <c r="B27" s="5" t="s">
        <v>4</v>
      </c>
      <c r="C27" s="5" t="s">
        <v>6</v>
      </c>
      <c r="D27" s="33">
        <v>47526</v>
      </c>
    </row>
    <row r="28" spans="1:4" ht="21" customHeight="1" x14ac:dyDescent="0.3">
      <c r="A28" s="32">
        <v>46049</v>
      </c>
      <c r="B28" s="5" t="s">
        <v>4</v>
      </c>
      <c r="C28" s="5" t="s">
        <v>10</v>
      </c>
      <c r="D28" s="33">
        <v>73216</v>
      </c>
    </row>
    <row r="29" spans="1:4" ht="21" customHeight="1" x14ac:dyDescent="0.3">
      <c r="A29" s="32">
        <v>46050</v>
      </c>
      <c r="B29" s="5" t="s">
        <v>9</v>
      </c>
      <c r="C29" s="5" t="s">
        <v>10</v>
      </c>
      <c r="D29" s="33">
        <v>59278</v>
      </c>
    </row>
    <row r="30" spans="1:4" ht="21" customHeight="1" x14ac:dyDescent="0.3">
      <c r="A30" s="32">
        <v>46051</v>
      </c>
      <c r="B30" s="5" t="s">
        <v>11</v>
      </c>
      <c r="C30" s="5" t="s">
        <v>6</v>
      </c>
      <c r="D30" s="33">
        <v>34614</v>
      </c>
    </row>
    <row r="31" spans="1:4" ht="21" customHeight="1" x14ac:dyDescent="0.3">
      <c r="A31" s="32">
        <v>46052</v>
      </c>
      <c r="B31" s="5" t="s">
        <v>9</v>
      </c>
      <c r="C31" s="5" t="s">
        <v>6</v>
      </c>
      <c r="D31" s="33">
        <v>100995</v>
      </c>
    </row>
    <row r="32" spans="1:4" ht="21" customHeight="1" x14ac:dyDescent="0.3">
      <c r="A32" s="32">
        <v>46053</v>
      </c>
      <c r="B32" s="5" t="s">
        <v>7</v>
      </c>
      <c r="C32" s="5" t="s">
        <v>6</v>
      </c>
      <c r="D32" s="33">
        <v>110641</v>
      </c>
    </row>
    <row r="33" spans="1:4" ht="21" customHeight="1" x14ac:dyDescent="0.3">
      <c r="A33" s="32">
        <v>46054</v>
      </c>
      <c r="B33" s="5" t="s">
        <v>4</v>
      </c>
      <c r="C33" s="5" t="s">
        <v>8</v>
      </c>
      <c r="D33" s="33">
        <v>72459</v>
      </c>
    </row>
    <row r="34" spans="1:4" ht="21" customHeight="1" x14ac:dyDescent="0.3">
      <c r="A34" s="32">
        <v>46055</v>
      </c>
      <c r="B34" s="5" t="s">
        <v>7</v>
      </c>
      <c r="C34" s="5" t="s">
        <v>10</v>
      </c>
      <c r="D34" s="33">
        <v>105263</v>
      </c>
    </row>
    <row r="35" spans="1:4" ht="21" customHeight="1" x14ac:dyDescent="0.3">
      <c r="A35" s="32">
        <v>46056</v>
      </c>
      <c r="B35" s="5" t="s">
        <v>9</v>
      </c>
      <c r="C35" s="5" t="s">
        <v>5</v>
      </c>
      <c r="D35" s="33">
        <v>56895</v>
      </c>
    </row>
    <row r="36" spans="1:4" ht="21" customHeight="1" x14ac:dyDescent="0.3">
      <c r="A36" s="32">
        <v>46057</v>
      </c>
      <c r="B36" s="5" t="s">
        <v>9</v>
      </c>
      <c r="C36" s="5" t="s">
        <v>8</v>
      </c>
      <c r="D36" s="33">
        <v>48152</v>
      </c>
    </row>
    <row r="37" spans="1:4" ht="21" customHeight="1" x14ac:dyDescent="0.3">
      <c r="A37" s="32">
        <v>46058</v>
      </c>
      <c r="B37" s="5" t="s">
        <v>11</v>
      </c>
      <c r="C37" s="5" t="s">
        <v>6</v>
      </c>
      <c r="D37" s="33">
        <v>63311</v>
      </c>
    </row>
    <row r="38" spans="1:4" ht="21" customHeight="1" x14ac:dyDescent="0.3">
      <c r="A38" s="32">
        <v>46059</v>
      </c>
      <c r="B38" s="5" t="s">
        <v>4</v>
      </c>
      <c r="C38" s="5" t="s">
        <v>10</v>
      </c>
      <c r="D38" s="33">
        <v>57026</v>
      </c>
    </row>
    <row r="39" spans="1:4" ht="21" customHeight="1" x14ac:dyDescent="0.3">
      <c r="A39" s="32">
        <v>46060</v>
      </c>
      <c r="B39" s="5" t="s">
        <v>7</v>
      </c>
      <c r="C39" s="5" t="s">
        <v>5</v>
      </c>
      <c r="D39" s="33">
        <v>72933</v>
      </c>
    </row>
    <row r="40" spans="1:4" ht="21" customHeight="1" x14ac:dyDescent="0.3">
      <c r="A40" s="32">
        <v>46061</v>
      </c>
      <c r="B40" s="5" t="s">
        <v>7</v>
      </c>
      <c r="C40" s="5" t="s">
        <v>6</v>
      </c>
      <c r="D40" s="33">
        <v>29268</v>
      </c>
    </row>
    <row r="41" spans="1:4" ht="21" customHeight="1" x14ac:dyDescent="0.3">
      <c r="A41" s="32">
        <v>46062</v>
      </c>
      <c r="B41" s="5" t="s">
        <v>7</v>
      </c>
      <c r="C41" s="5" t="s">
        <v>6</v>
      </c>
      <c r="D41" s="33">
        <v>27024</v>
      </c>
    </row>
    <row r="42" spans="1:4" ht="21" customHeight="1" x14ac:dyDescent="0.3">
      <c r="A42" s="32">
        <v>46063</v>
      </c>
      <c r="B42" s="5" t="s">
        <v>9</v>
      </c>
      <c r="C42" s="5" t="s">
        <v>5</v>
      </c>
      <c r="D42" s="33">
        <v>96867</v>
      </c>
    </row>
    <row r="43" spans="1:4" ht="21" customHeight="1" x14ac:dyDescent="0.3">
      <c r="A43" s="32">
        <v>46064</v>
      </c>
      <c r="B43" s="5" t="s">
        <v>7</v>
      </c>
      <c r="C43" s="5" t="s">
        <v>8</v>
      </c>
      <c r="D43" s="33">
        <v>68846</v>
      </c>
    </row>
    <row r="44" spans="1:4" ht="21" customHeight="1" x14ac:dyDescent="0.3">
      <c r="A44" s="32">
        <v>46065</v>
      </c>
      <c r="B44" s="5" t="s">
        <v>4</v>
      </c>
      <c r="C44" s="5" t="s">
        <v>6</v>
      </c>
      <c r="D44" s="33">
        <v>111791</v>
      </c>
    </row>
    <row r="45" spans="1:4" ht="21" customHeight="1" x14ac:dyDescent="0.3">
      <c r="A45" s="32">
        <v>46066</v>
      </c>
      <c r="B45" s="5" t="s">
        <v>9</v>
      </c>
      <c r="C45" s="5" t="s">
        <v>5</v>
      </c>
      <c r="D45" s="33">
        <v>72981</v>
      </c>
    </row>
    <row r="46" spans="1:4" ht="21" customHeight="1" x14ac:dyDescent="0.3">
      <c r="A46" s="32">
        <v>46067</v>
      </c>
      <c r="B46" s="5" t="s">
        <v>11</v>
      </c>
      <c r="C46" s="5" t="s">
        <v>5</v>
      </c>
      <c r="D46" s="33">
        <v>48066</v>
      </c>
    </row>
    <row r="47" spans="1:4" ht="21" customHeight="1" x14ac:dyDescent="0.3">
      <c r="A47" s="32">
        <v>46068</v>
      </c>
      <c r="B47" s="5" t="s">
        <v>4</v>
      </c>
      <c r="C47" s="5" t="s">
        <v>8</v>
      </c>
      <c r="D47" s="33">
        <v>108011</v>
      </c>
    </row>
    <row r="48" spans="1:4" ht="21" customHeight="1" x14ac:dyDescent="0.3">
      <c r="A48" s="32">
        <v>46069</v>
      </c>
      <c r="B48" s="5" t="s">
        <v>7</v>
      </c>
      <c r="C48" s="5" t="s">
        <v>5</v>
      </c>
      <c r="D48" s="33">
        <v>82722</v>
      </c>
    </row>
    <row r="49" spans="1:4" ht="21" customHeight="1" x14ac:dyDescent="0.3">
      <c r="A49" s="32">
        <v>46070</v>
      </c>
      <c r="B49" s="5" t="s">
        <v>4</v>
      </c>
      <c r="C49" s="5" t="s">
        <v>5</v>
      </c>
      <c r="D49" s="33">
        <v>64817</v>
      </c>
    </row>
    <row r="50" spans="1:4" ht="21" customHeight="1" x14ac:dyDescent="0.3">
      <c r="A50" s="32">
        <v>46071</v>
      </c>
      <c r="B50" s="5" t="s">
        <v>9</v>
      </c>
      <c r="C50" s="5" t="s">
        <v>6</v>
      </c>
      <c r="D50" s="33">
        <v>89890</v>
      </c>
    </row>
    <row r="51" spans="1:4" ht="21" customHeight="1" x14ac:dyDescent="0.3">
      <c r="A51" s="32">
        <v>46072</v>
      </c>
      <c r="B51" s="5" t="s">
        <v>9</v>
      </c>
      <c r="C51" s="5" t="s">
        <v>10</v>
      </c>
      <c r="D51" s="33">
        <v>68849</v>
      </c>
    </row>
    <row r="52" spans="1:4" ht="21" customHeight="1" x14ac:dyDescent="0.3">
      <c r="A52" s="32">
        <v>46073</v>
      </c>
      <c r="B52" s="5" t="s">
        <v>11</v>
      </c>
      <c r="C52" s="5" t="s">
        <v>10</v>
      </c>
      <c r="D52" s="33">
        <v>32510</v>
      </c>
    </row>
    <row r="53" spans="1:4" ht="21" customHeight="1" x14ac:dyDescent="0.3">
      <c r="A53" s="32">
        <v>46074</v>
      </c>
      <c r="B53" s="5" t="s">
        <v>7</v>
      </c>
      <c r="C53" s="5" t="s">
        <v>10</v>
      </c>
      <c r="D53" s="33">
        <v>68869</v>
      </c>
    </row>
    <row r="54" spans="1:4" ht="21" customHeight="1" x14ac:dyDescent="0.3">
      <c r="A54" s="32">
        <v>46075</v>
      </c>
      <c r="B54" s="5" t="s">
        <v>7</v>
      </c>
      <c r="C54" s="5" t="s">
        <v>10</v>
      </c>
      <c r="D54" s="33">
        <v>60211</v>
      </c>
    </row>
    <row r="55" spans="1:4" ht="21" customHeight="1" x14ac:dyDescent="0.3">
      <c r="A55" s="32">
        <v>46076</v>
      </c>
      <c r="B55" s="5" t="s">
        <v>7</v>
      </c>
      <c r="C55" s="5" t="s">
        <v>5</v>
      </c>
      <c r="D55" s="33">
        <v>110645</v>
      </c>
    </row>
    <row r="56" spans="1:4" ht="21" customHeight="1" x14ac:dyDescent="0.3">
      <c r="A56" s="32">
        <v>46077</v>
      </c>
      <c r="B56" s="5" t="s">
        <v>11</v>
      </c>
      <c r="C56" s="5" t="s">
        <v>6</v>
      </c>
      <c r="D56" s="33">
        <v>22344</v>
      </c>
    </row>
    <row r="57" spans="1:4" ht="21" customHeight="1" x14ac:dyDescent="0.3">
      <c r="A57" s="32">
        <v>46078</v>
      </c>
      <c r="B57" s="5" t="s">
        <v>9</v>
      </c>
      <c r="C57" s="5" t="s">
        <v>6</v>
      </c>
      <c r="D57" s="33">
        <v>85101</v>
      </c>
    </row>
    <row r="58" spans="1:4" ht="21" customHeight="1" x14ac:dyDescent="0.3">
      <c r="A58" s="32">
        <v>46079</v>
      </c>
      <c r="B58" s="5" t="s">
        <v>11</v>
      </c>
      <c r="C58" s="5" t="s">
        <v>5</v>
      </c>
      <c r="D58" s="33">
        <v>29309</v>
      </c>
    </row>
    <row r="59" spans="1:4" ht="21" customHeight="1" x14ac:dyDescent="0.3">
      <c r="A59" s="32">
        <v>46080</v>
      </c>
      <c r="B59" s="5" t="s">
        <v>4</v>
      </c>
      <c r="C59" s="5" t="s">
        <v>5</v>
      </c>
      <c r="D59" s="33">
        <v>68796</v>
      </c>
    </row>
    <row r="60" spans="1:4" ht="21" customHeight="1" x14ac:dyDescent="0.3">
      <c r="A60" s="32">
        <v>46081</v>
      </c>
      <c r="B60" s="5" t="s">
        <v>11</v>
      </c>
      <c r="C60" s="5" t="s">
        <v>10</v>
      </c>
      <c r="D60" s="33">
        <v>92657</v>
      </c>
    </row>
    <row r="61" spans="1:4" ht="21" customHeight="1" x14ac:dyDescent="0.3">
      <c r="A61" s="32">
        <v>46082</v>
      </c>
      <c r="B61" s="5" t="s">
        <v>11</v>
      </c>
      <c r="C61" s="5" t="s">
        <v>10</v>
      </c>
      <c r="D61" s="33">
        <v>20140</v>
      </c>
    </row>
    <row r="62" spans="1:4" ht="21" customHeight="1" x14ac:dyDescent="0.3">
      <c r="A62" s="32">
        <v>46083</v>
      </c>
      <c r="B62" s="5" t="s">
        <v>9</v>
      </c>
      <c r="C62" s="5" t="s">
        <v>10</v>
      </c>
      <c r="D62" s="33">
        <v>84160</v>
      </c>
    </row>
    <row r="63" spans="1:4" ht="21" customHeight="1" x14ac:dyDescent="0.3">
      <c r="A63" s="32">
        <v>46084</v>
      </c>
      <c r="B63" s="5" t="s">
        <v>11</v>
      </c>
      <c r="C63" s="5" t="s">
        <v>6</v>
      </c>
      <c r="D63" s="33">
        <v>112383</v>
      </c>
    </row>
    <row r="64" spans="1:4" ht="21" customHeight="1" x14ac:dyDescent="0.3">
      <c r="A64" s="32">
        <v>46085</v>
      </c>
      <c r="B64" s="5" t="s">
        <v>11</v>
      </c>
      <c r="C64" s="5" t="s">
        <v>5</v>
      </c>
      <c r="D64" s="33">
        <v>32686</v>
      </c>
    </row>
    <row r="65" spans="1:4" ht="21" customHeight="1" x14ac:dyDescent="0.3">
      <c r="A65" s="32">
        <v>46086</v>
      </c>
      <c r="B65" s="5" t="s">
        <v>4</v>
      </c>
      <c r="C65" s="5" t="s">
        <v>5</v>
      </c>
      <c r="D65" s="33">
        <v>32947</v>
      </c>
    </row>
    <row r="66" spans="1:4" ht="21" customHeight="1" x14ac:dyDescent="0.3">
      <c r="A66" s="32">
        <v>46087</v>
      </c>
      <c r="B66" s="5" t="s">
        <v>7</v>
      </c>
      <c r="C66" s="5" t="s">
        <v>6</v>
      </c>
      <c r="D66" s="33">
        <v>83827</v>
      </c>
    </row>
    <row r="67" spans="1:4" ht="21" customHeight="1" x14ac:dyDescent="0.3">
      <c r="A67" s="32">
        <v>46088</v>
      </c>
      <c r="B67" s="5" t="s">
        <v>7</v>
      </c>
      <c r="C67" s="5" t="s">
        <v>8</v>
      </c>
      <c r="D67" s="33">
        <v>42418</v>
      </c>
    </row>
    <row r="68" spans="1:4" ht="21" customHeight="1" x14ac:dyDescent="0.3">
      <c r="A68" s="32">
        <v>46089</v>
      </c>
      <c r="B68" s="5" t="s">
        <v>9</v>
      </c>
      <c r="C68" s="5" t="s">
        <v>8</v>
      </c>
      <c r="D68" s="33">
        <v>97681</v>
      </c>
    </row>
    <row r="69" spans="1:4" ht="21" customHeight="1" x14ac:dyDescent="0.3">
      <c r="A69" s="32">
        <v>46090</v>
      </c>
      <c r="B69" s="5" t="s">
        <v>11</v>
      </c>
      <c r="C69" s="5" t="s">
        <v>8</v>
      </c>
      <c r="D69" s="33">
        <v>109835</v>
      </c>
    </row>
    <row r="70" spans="1:4" ht="21" customHeight="1" x14ac:dyDescent="0.3">
      <c r="A70" s="32">
        <v>46091</v>
      </c>
      <c r="B70" s="5" t="s">
        <v>9</v>
      </c>
      <c r="C70" s="5" t="s">
        <v>10</v>
      </c>
      <c r="D70" s="33">
        <v>55048</v>
      </c>
    </row>
    <row r="71" spans="1:4" ht="21" customHeight="1" x14ac:dyDescent="0.3">
      <c r="A71" s="32">
        <v>46092</v>
      </c>
      <c r="B71" s="5" t="s">
        <v>4</v>
      </c>
      <c r="C71" s="5" t="s">
        <v>8</v>
      </c>
      <c r="D71" s="33">
        <v>85366</v>
      </c>
    </row>
    <row r="72" spans="1:4" ht="21" customHeight="1" x14ac:dyDescent="0.3">
      <c r="A72" s="32">
        <v>46093</v>
      </c>
      <c r="B72" s="5" t="s">
        <v>11</v>
      </c>
      <c r="C72" s="5" t="s">
        <v>5</v>
      </c>
      <c r="D72" s="33">
        <v>42498</v>
      </c>
    </row>
    <row r="73" spans="1:4" ht="21" customHeight="1" x14ac:dyDescent="0.3">
      <c r="A73" s="32">
        <v>46094</v>
      </c>
      <c r="B73" s="5" t="s">
        <v>11</v>
      </c>
      <c r="C73" s="5" t="s">
        <v>5</v>
      </c>
      <c r="D73" s="33">
        <v>91931</v>
      </c>
    </row>
    <row r="74" spans="1:4" ht="21" customHeight="1" x14ac:dyDescent="0.3">
      <c r="A74" s="32">
        <v>46095</v>
      </c>
      <c r="B74" s="5" t="s">
        <v>7</v>
      </c>
      <c r="C74" s="5" t="s">
        <v>6</v>
      </c>
      <c r="D74" s="33">
        <v>21915</v>
      </c>
    </row>
    <row r="75" spans="1:4" ht="21" customHeight="1" x14ac:dyDescent="0.3">
      <c r="A75" s="32">
        <v>46096</v>
      </c>
      <c r="B75" s="5" t="s">
        <v>7</v>
      </c>
      <c r="C75" s="5" t="s">
        <v>6</v>
      </c>
      <c r="D75" s="33">
        <v>61665</v>
      </c>
    </row>
    <row r="76" spans="1:4" ht="21" customHeight="1" x14ac:dyDescent="0.3">
      <c r="A76" s="32">
        <v>46097</v>
      </c>
      <c r="B76" s="5" t="s">
        <v>7</v>
      </c>
      <c r="C76" s="5" t="s">
        <v>8</v>
      </c>
      <c r="D76" s="33">
        <v>59902</v>
      </c>
    </row>
    <row r="77" spans="1:4" ht="21" customHeight="1" x14ac:dyDescent="0.3">
      <c r="A77" s="32">
        <v>46098</v>
      </c>
      <c r="B77" s="5" t="s">
        <v>11</v>
      </c>
      <c r="C77" s="5" t="s">
        <v>6</v>
      </c>
      <c r="D77" s="33">
        <v>105777</v>
      </c>
    </row>
    <row r="78" spans="1:4" ht="21" customHeight="1" x14ac:dyDescent="0.3">
      <c r="A78" s="32">
        <v>46099</v>
      </c>
      <c r="B78" s="5" t="s">
        <v>11</v>
      </c>
      <c r="C78" s="5" t="s">
        <v>5</v>
      </c>
      <c r="D78" s="33">
        <v>80919</v>
      </c>
    </row>
    <row r="79" spans="1:4" ht="21" customHeight="1" x14ac:dyDescent="0.3">
      <c r="A79" s="32">
        <v>46100</v>
      </c>
      <c r="B79" s="5" t="s">
        <v>9</v>
      </c>
      <c r="C79" s="5" t="s">
        <v>10</v>
      </c>
      <c r="D79" s="33">
        <v>75029</v>
      </c>
    </row>
    <row r="80" spans="1:4" ht="21" customHeight="1" x14ac:dyDescent="0.3">
      <c r="A80" s="34">
        <v>46101</v>
      </c>
      <c r="B80" s="35" t="s">
        <v>9</v>
      </c>
      <c r="C80" s="35" t="s">
        <v>8</v>
      </c>
      <c r="D80" s="36">
        <v>80536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1"/>
  <sheetViews>
    <sheetView topLeftCell="B1" workbookViewId="0">
      <selection activeCell="H41" sqref="H41"/>
    </sheetView>
  </sheetViews>
  <sheetFormatPr defaultColWidth="16.109375" defaultRowHeight="20.25" customHeight="1" x14ac:dyDescent="0.3"/>
  <cols>
    <col min="1" max="1" width="16.109375" style="8"/>
    <col min="2" max="4" width="16.109375" style="7"/>
    <col min="6" max="6" width="16.109375" style="7"/>
    <col min="7" max="7" width="107.5546875" style="9" customWidth="1"/>
    <col min="8" max="16384" width="16.109375" style="7"/>
  </cols>
  <sheetData>
    <row r="1" spans="1:7" ht="20.25" customHeight="1" x14ac:dyDescent="0.3">
      <c r="A1" s="42" t="s">
        <v>0</v>
      </c>
      <c r="B1" s="43" t="s">
        <v>1</v>
      </c>
      <c r="C1" s="43" t="s">
        <v>2</v>
      </c>
      <c r="D1" s="44" t="s">
        <v>3</v>
      </c>
    </row>
    <row r="2" spans="1:7" ht="20.25" customHeight="1" x14ac:dyDescent="0.3">
      <c r="A2" s="32">
        <v>46023</v>
      </c>
      <c r="B2" s="5" t="s">
        <v>4</v>
      </c>
      <c r="C2" s="5" t="s">
        <v>6</v>
      </c>
      <c r="D2" s="33">
        <v>34342</v>
      </c>
    </row>
    <row r="3" spans="1:7" ht="29.25" customHeight="1" x14ac:dyDescent="0.3">
      <c r="A3" s="32">
        <v>46024</v>
      </c>
      <c r="B3" s="5" t="s">
        <v>4</v>
      </c>
      <c r="C3" s="5" t="s">
        <v>6</v>
      </c>
      <c r="D3" s="33">
        <v>75159</v>
      </c>
      <c r="F3" s="85" t="s">
        <v>357</v>
      </c>
      <c r="G3" s="82" t="s">
        <v>358</v>
      </c>
    </row>
    <row r="4" spans="1:7" ht="20.25" customHeight="1" x14ac:dyDescent="0.3">
      <c r="A4" s="32">
        <v>46025</v>
      </c>
      <c r="B4" s="5" t="s">
        <v>11</v>
      </c>
      <c r="C4" s="5" t="s">
        <v>10</v>
      </c>
      <c r="D4" s="33">
        <v>107860</v>
      </c>
    </row>
    <row r="5" spans="1:7" ht="28.5" customHeight="1" x14ac:dyDescent="0.3">
      <c r="A5" s="32">
        <v>46026</v>
      </c>
      <c r="B5" s="5" t="s">
        <v>11</v>
      </c>
      <c r="C5" s="5" t="s">
        <v>5</v>
      </c>
      <c r="D5" s="33">
        <v>133324</v>
      </c>
      <c r="F5" s="81" t="s">
        <v>356</v>
      </c>
      <c r="G5" s="86">
        <f>SUMIFS(Table5[Sales Amount],Table5[Product],"Laptop",Table5[Region],"Dhaka",Table5[Date],"&gt;="&amp;DATE(2026,1,1),Table5[Date],"&lt;="&amp;DATE(2026,3,31),Table5[Sales Amount],"&gt;30000")</f>
        <v>592601</v>
      </c>
    </row>
    <row r="6" spans="1:7" ht="20.25" customHeight="1" x14ac:dyDescent="0.3">
      <c r="A6" s="32">
        <v>46027</v>
      </c>
      <c r="B6" s="5" t="s">
        <v>7</v>
      </c>
      <c r="C6" s="5" t="s">
        <v>8</v>
      </c>
      <c r="D6" s="33">
        <v>83704</v>
      </c>
    </row>
    <row r="7" spans="1:7" ht="20.25" customHeight="1" x14ac:dyDescent="0.3">
      <c r="A7" s="32">
        <v>46028</v>
      </c>
      <c r="B7" s="5" t="s">
        <v>11</v>
      </c>
      <c r="C7" s="5" t="s">
        <v>6</v>
      </c>
      <c r="D7" s="33">
        <v>83538</v>
      </c>
      <c r="F7" s="95" t="s">
        <v>744</v>
      </c>
      <c r="G7" s="92" t="s">
        <v>745</v>
      </c>
    </row>
    <row r="8" spans="1:7" ht="20.25" customHeight="1" x14ac:dyDescent="0.3">
      <c r="A8" s="32">
        <v>46029</v>
      </c>
      <c r="B8" s="5" t="s">
        <v>7</v>
      </c>
      <c r="C8" s="5" t="s">
        <v>6</v>
      </c>
      <c r="D8" s="33">
        <v>32807</v>
      </c>
      <c r="F8" s="96"/>
      <c r="G8" s="93"/>
    </row>
    <row r="9" spans="1:7" ht="20.25" customHeight="1" x14ac:dyDescent="0.3">
      <c r="A9" s="32">
        <v>46030</v>
      </c>
      <c r="B9" s="5" t="s">
        <v>9</v>
      </c>
      <c r="C9" s="5" t="s">
        <v>8</v>
      </c>
      <c r="D9" s="33">
        <v>126553</v>
      </c>
      <c r="F9" s="97"/>
      <c r="G9" s="94"/>
    </row>
    <row r="10" spans="1:7" ht="20.25" customHeight="1" x14ac:dyDescent="0.3">
      <c r="A10" s="32">
        <v>46031</v>
      </c>
      <c r="B10" s="5" t="s">
        <v>7</v>
      </c>
      <c r="C10" s="5" t="s">
        <v>6</v>
      </c>
      <c r="D10" s="33">
        <v>15915</v>
      </c>
    </row>
    <row r="11" spans="1:7" ht="20.25" customHeight="1" x14ac:dyDescent="0.3">
      <c r="A11" s="32">
        <v>46032</v>
      </c>
      <c r="B11" s="5" t="s">
        <v>4</v>
      </c>
      <c r="C11" s="5" t="s">
        <v>6</v>
      </c>
      <c r="D11" s="33">
        <v>124046</v>
      </c>
    </row>
    <row r="12" spans="1:7" ht="20.25" customHeight="1" x14ac:dyDescent="0.3">
      <c r="A12" s="32">
        <v>46033</v>
      </c>
      <c r="B12" s="5" t="s">
        <v>7</v>
      </c>
      <c r="C12" s="5" t="s">
        <v>10</v>
      </c>
      <c r="D12" s="33">
        <v>118225</v>
      </c>
    </row>
    <row r="13" spans="1:7" ht="20.25" customHeight="1" x14ac:dyDescent="0.3">
      <c r="A13" s="32">
        <v>46034</v>
      </c>
      <c r="B13" s="5" t="s">
        <v>9</v>
      </c>
      <c r="C13" s="5" t="s">
        <v>10</v>
      </c>
      <c r="D13" s="33">
        <v>111100</v>
      </c>
    </row>
    <row r="14" spans="1:7" ht="20.25" customHeight="1" x14ac:dyDescent="0.3">
      <c r="A14" s="32">
        <v>46035</v>
      </c>
      <c r="B14" s="5" t="s">
        <v>4</v>
      </c>
      <c r="C14" s="5" t="s">
        <v>10</v>
      </c>
      <c r="D14" s="33">
        <v>72139</v>
      </c>
    </row>
    <row r="15" spans="1:7" ht="20.25" customHeight="1" x14ac:dyDescent="0.3">
      <c r="A15" s="32">
        <v>46036</v>
      </c>
      <c r="B15" s="5" t="s">
        <v>9</v>
      </c>
      <c r="C15" s="5" t="s">
        <v>8</v>
      </c>
      <c r="D15" s="33">
        <v>123593</v>
      </c>
    </row>
    <row r="16" spans="1:7" ht="20.25" customHeight="1" x14ac:dyDescent="0.3">
      <c r="A16" s="32">
        <v>46037</v>
      </c>
      <c r="B16" s="5" t="s">
        <v>4</v>
      </c>
      <c r="C16" s="5" t="s">
        <v>6</v>
      </c>
      <c r="D16" s="33">
        <v>128942</v>
      </c>
    </row>
    <row r="17" spans="1:4" ht="20.25" customHeight="1" x14ac:dyDescent="0.3">
      <c r="A17" s="32">
        <v>46038</v>
      </c>
      <c r="B17" s="5" t="s">
        <v>9</v>
      </c>
      <c r="C17" s="5" t="s">
        <v>6</v>
      </c>
      <c r="D17" s="33">
        <v>128009</v>
      </c>
    </row>
    <row r="18" spans="1:4" ht="20.25" customHeight="1" x14ac:dyDescent="0.3">
      <c r="A18" s="32">
        <v>46039</v>
      </c>
      <c r="B18" s="5" t="s">
        <v>11</v>
      </c>
      <c r="C18" s="5" t="s">
        <v>5</v>
      </c>
      <c r="D18" s="33">
        <v>24799</v>
      </c>
    </row>
    <row r="19" spans="1:4" ht="20.25" customHeight="1" x14ac:dyDescent="0.3">
      <c r="A19" s="32">
        <v>46040</v>
      </c>
      <c r="B19" s="5" t="s">
        <v>11</v>
      </c>
      <c r="C19" s="5" t="s">
        <v>5</v>
      </c>
      <c r="D19" s="33">
        <v>93037</v>
      </c>
    </row>
    <row r="20" spans="1:4" ht="20.25" customHeight="1" x14ac:dyDescent="0.3">
      <c r="A20" s="32">
        <v>46041</v>
      </c>
      <c r="B20" s="5" t="s">
        <v>7</v>
      </c>
      <c r="C20" s="5" t="s">
        <v>5</v>
      </c>
      <c r="D20" s="33">
        <v>109496</v>
      </c>
    </row>
    <row r="21" spans="1:4" ht="20.25" customHeight="1" x14ac:dyDescent="0.3">
      <c r="A21" s="32">
        <v>46042</v>
      </c>
      <c r="B21" s="5" t="s">
        <v>7</v>
      </c>
      <c r="C21" s="5" t="s">
        <v>6</v>
      </c>
      <c r="D21" s="33">
        <v>62010</v>
      </c>
    </row>
    <row r="22" spans="1:4" ht="20.25" customHeight="1" x14ac:dyDescent="0.3">
      <c r="A22" s="32">
        <v>46043</v>
      </c>
      <c r="B22" s="5" t="s">
        <v>11</v>
      </c>
      <c r="C22" s="5" t="s">
        <v>5</v>
      </c>
      <c r="D22" s="33">
        <v>58848</v>
      </c>
    </row>
    <row r="23" spans="1:4" ht="20.25" customHeight="1" x14ac:dyDescent="0.3">
      <c r="A23" s="32">
        <v>46044</v>
      </c>
      <c r="B23" s="5" t="s">
        <v>9</v>
      </c>
      <c r="C23" s="5" t="s">
        <v>6</v>
      </c>
      <c r="D23" s="33">
        <v>116449</v>
      </c>
    </row>
    <row r="24" spans="1:4" ht="20.25" customHeight="1" x14ac:dyDescent="0.3">
      <c r="A24" s="32">
        <v>46045</v>
      </c>
      <c r="B24" s="5" t="s">
        <v>4</v>
      </c>
      <c r="C24" s="5" t="s">
        <v>8</v>
      </c>
      <c r="D24" s="33">
        <v>143973</v>
      </c>
    </row>
    <row r="25" spans="1:4" ht="20.25" customHeight="1" x14ac:dyDescent="0.3">
      <c r="A25" s="32">
        <v>46046</v>
      </c>
      <c r="B25" s="5" t="s">
        <v>7</v>
      </c>
      <c r="C25" s="5" t="s">
        <v>10</v>
      </c>
      <c r="D25" s="33">
        <v>138442</v>
      </c>
    </row>
    <row r="26" spans="1:4" ht="20.25" customHeight="1" x14ac:dyDescent="0.3">
      <c r="A26" s="32">
        <v>46047</v>
      </c>
      <c r="B26" s="5" t="s">
        <v>7</v>
      </c>
      <c r="C26" s="5" t="s">
        <v>5</v>
      </c>
      <c r="D26" s="33">
        <v>147908</v>
      </c>
    </row>
    <row r="27" spans="1:4" ht="20.25" customHeight="1" x14ac:dyDescent="0.3">
      <c r="A27" s="32">
        <v>46048</v>
      </c>
      <c r="B27" s="5" t="s">
        <v>11</v>
      </c>
      <c r="C27" s="5" t="s">
        <v>5</v>
      </c>
      <c r="D27" s="33">
        <v>70388</v>
      </c>
    </row>
    <row r="28" spans="1:4" ht="20.25" customHeight="1" x14ac:dyDescent="0.3">
      <c r="A28" s="32">
        <v>46049</v>
      </c>
      <c r="B28" s="5" t="s">
        <v>9</v>
      </c>
      <c r="C28" s="5" t="s">
        <v>5</v>
      </c>
      <c r="D28" s="33">
        <v>115542</v>
      </c>
    </row>
    <row r="29" spans="1:4" ht="20.25" customHeight="1" x14ac:dyDescent="0.3">
      <c r="A29" s="32">
        <v>46050</v>
      </c>
      <c r="B29" s="5" t="s">
        <v>9</v>
      </c>
      <c r="C29" s="5" t="s">
        <v>8</v>
      </c>
      <c r="D29" s="33">
        <v>147615</v>
      </c>
    </row>
    <row r="30" spans="1:4" ht="20.25" customHeight="1" x14ac:dyDescent="0.3">
      <c r="A30" s="32">
        <v>46051</v>
      </c>
      <c r="B30" s="5" t="s">
        <v>4</v>
      </c>
      <c r="C30" s="5" t="s">
        <v>8</v>
      </c>
      <c r="D30" s="33">
        <v>114723</v>
      </c>
    </row>
    <row r="31" spans="1:4" ht="20.25" customHeight="1" x14ac:dyDescent="0.3">
      <c r="A31" s="32">
        <v>46052</v>
      </c>
      <c r="B31" s="5" t="s">
        <v>11</v>
      </c>
      <c r="C31" s="5" t="s">
        <v>10</v>
      </c>
      <c r="D31" s="33">
        <v>27772</v>
      </c>
    </row>
    <row r="32" spans="1:4" ht="20.25" customHeight="1" x14ac:dyDescent="0.3">
      <c r="A32" s="32">
        <v>46053</v>
      </c>
      <c r="B32" s="5" t="s">
        <v>7</v>
      </c>
      <c r="C32" s="5" t="s">
        <v>10</v>
      </c>
      <c r="D32" s="33">
        <v>134661</v>
      </c>
    </row>
    <row r="33" spans="1:4" ht="20.25" customHeight="1" x14ac:dyDescent="0.3">
      <c r="A33" s="32">
        <v>46054</v>
      </c>
      <c r="B33" s="5" t="s">
        <v>7</v>
      </c>
      <c r="C33" s="5" t="s">
        <v>10</v>
      </c>
      <c r="D33" s="33">
        <v>126852</v>
      </c>
    </row>
    <row r="34" spans="1:4" ht="20.25" customHeight="1" x14ac:dyDescent="0.3">
      <c r="A34" s="32">
        <v>46055</v>
      </c>
      <c r="B34" s="5" t="s">
        <v>11</v>
      </c>
      <c r="C34" s="5" t="s">
        <v>6</v>
      </c>
      <c r="D34" s="33">
        <v>123786</v>
      </c>
    </row>
    <row r="35" spans="1:4" ht="20.25" customHeight="1" x14ac:dyDescent="0.3">
      <c r="A35" s="32">
        <v>46056</v>
      </c>
      <c r="B35" s="5" t="s">
        <v>7</v>
      </c>
      <c r="C35" s="5" t="s">
        <v>8</v>
      </c>
      <c r="D35" s="33">
        <v>61826</v>
      </c>
    </row>
    <row r="36" spans="1:4" ht="20.25" customHeight="1" x14ac:dyDescent="0.3">
      <c r="A36" s="32">
        <v>46057</v>
      </c>
      <c r="B36" s="5" t="s">
        <v>11</v>
      </c>
      <c r="C36" s="5" t="s">
        <v>8</v>
      </c>
      <c r="D36" s="33">
        <v>75070</v>
      </c>
    </row>
    <row r="37" spans="1:4" ht="20.25" customHeight="1" x14ac:dyDescent="0.3">
      <c r="A37" s="32">
        <v>46058</v>
      </c>
      <c r="B37" s="5" t="s">
        <v>11</v>
      </c>
      <c r="C37" s="5" t="s">
        <v>5</v>
      </c>
      <c r="D37" s="33">
        <v>20009</v>
      </c>
    </row>
    <row r="38" spans="1:4" ht="20.25" customHeight="1" x14ac:dyDescent="0.3">
      <c r="A38" s="32">
        <v>46059</v>
      </c>
      <c r="B38" s="5" t="s">
        <v>7</v>
      </c>
      <c r="C38" s="5" t="s">
        <v>10</v>
      </c>
      <c r="D38" s="33">
        <v>102520</v>
      </c>
    </row>
    <row r="39" spans="1:4" ht="20.25" customHeight="1" x14ac:dyDescent="0.3">
      <c r="A39" s="32">
        <v>46060</v>
      </c>
      <c r="B39" s="5" t="s">
        <v>11</v>
      </c>
      <c r="C39" s="5" t="s">
        <v>8</v>
      </c>
      <c r="D39" s="33">
        <v>126115</v>
      </c>
    </row>
    <row r="40" spans="1:4" ht="20.25" customHeight="1" x14ac:dyDescent="0.3">
      <c r="A40" s="32">
        <v>46061</v>
      </c>
      <c r="B40" s="5" t="s">
        <v>7</v>
      </c>
      <c r="C40" s="5" t="s">
        <v>6</v>
      </c>
      <c r="D40" s="33">
        <v>105673</v>
      </c>
    </row>
    <row r="41" spans="1:4" ht="20.25" customHeight="1" x14ac:dyDescent="0.3">
      <c r="A41" s="32">
        <v>46062</v>
      </c>
      <c r="B41" s="5" t="s">
        <v>9</v>
      </c>
      <c r="C41" s="5" t="s">
        <v>10</v>
      </c>
      <c r="D41" s="33">
        <v>77893</v>
      </c>
    </row>
    <row r="42" spans="1:4" ht="20.25" customHeight="1" x14ac:dyDescent="0.3">
      <c r="A42" s="32">
        <v>46063</v>
      </c>
      <c r="B42" s="5" t="s">
        <v>7</v>
      </c>
      <c r="C42" s="5" t="s">
        <v>6</v>
      </c>
      <c r="D42" s="33">
        <v>49238</v>
      </c>
    </row>
    <row r="43" spans="1:4" ht="20.25" customHeight="1" x14ac:dyDescent="0.3">
      <c r="A43" s="32">
        <v>46064</v>
      </c>
      <c r="B43" s="5" t="s">
        <v>7</v>
      </c>
      <c r="C43" s="5" t="s">
        <v>5</v>
      </c>
      <c r="D43" s="33">
        <v>78736</v>
      </c>
    </row>
    <row r="44" spans="1:4" ht="20.25" customHeight="1" x14ac:dyDescent="0.3">
      <c r="A44" s="32">
        <v>46065</v>
      </c>
      <c r="B44" s="5" t="s">
        <v>7</v>
      </c>
      <c r="C44" s="5" t="s">
        <v>10</v>
      </c>
      <c r="D44" s="33">
        <v>100045</v>
      </c>
    </row>
    <row r="45" spans="1:4" ht="20.25" customHeight="1" x14ac:dyDescent="0.3">
      <c r="A45" s="32">
        <v>46066</v>
      </c>
      <c r="B45" s="5" t="s">
        <v>4</v>
      </c>
      <c r="C45" s="5" t="s">
        <v>5</v>
      </c>
      <c r="D45" s="33">
        <v>28684</v>
      </c>
    </row>
    <row r="46" spans="1:4" ht="20.25" customHeight="1" x14ac:dyDescent="0.3">
      <c r="A46" s="32">
        <v>46067</v>
      </c>
      <c r="B46" s="5" t="s">
        <v>7</v>
      </c>
      <c r="C46" s="5" t="s">
        <v>10</v>
      </c>
      <c r="D46" s="33">
        <v>61753</v>
      </c>
    </row>
    <row r="47" spans="1:4" ht="20.25" customHeight="1" x14ac:dyDescent="0.3">
      <c r="A47" s="32">
        <v>46068</v>
      </c>
      <c r="B47" s="5" t="s">
        <v>11</v>
      </c>
      <c r="C47" s="5" t="s">
        <v>10</v>
      </c>
      <c r="D47" s="33">
        <v>61554</v>
      </c>
    </row>
    <row r="48" spans="1:4" ht="20.25" customHeight="1" x14ac:dyDescent="0.3">
      <c r="A48" s="32">
        <v>46069</v>
      </c>
      <c r="B48" s="5" t="s">
        <v>7</v>
      </c>
      <c r="C48" s="5" t="s">
        <v>10</v>
      </c>
      <c r="D48" s="33">
        <v>125447</v>
      </c>
    </row>
    <row r="49" spans="1:4" ht="20.25" customHeight="1" x14ac:dyDescent="0.3">
      <c r="A49" s="32">
        <v>46070</v>
      </c>
      <c r="B49" s="5" t="s">
        <v>7</v>
      </c>
      <c r="C49" s="5" t="s">
        <v>6</v>
      </c>
      <c r="D49" s="33">
        <v>16359</v>
      </c>
    </row>
    <row r="50" spans="1:4" ht="20.25" customHeight="1" x14ac:dyDescent="0.3">
      <c r="A50" s="32">
        <v>46071</v>
      </c>
      <c r="B50" s="5" t="s">
        <v>7</v>
      </c>
      <c r="C50" s="5" t="s">
        <v>6</v>
      </c>
      <c r="D50" s="33">
        <v>31353</v>
      </c>
    </row>
    <row r="51" spans="1:4" ht="20.25" customHeight="1" x14ac:dyDescent="0.3">
      <c r="A51" s="32">
        <v>46072</v>
      </c>
      <c r="B51" s="5" t="s">
        <v>4</v>
      </c>
      <c r="C51" s="5" t="s">
        <v>10</v>
      </c>
      <c r="D51" s="33">
        <v>125180</v>
      </c>
    </row>
    <row r="52" spans="1:4" ht="20.25" customHeight="1" x14ac:dyDescent="0.3">
      <c r="A52" s="32">
        <v>46073</v>
      </c>
      <c r="B52" s="5" t="s">
        <v>9</v>
      </c>
      <c r="C52" s="5" t="s">
        <v>5</v>
      </c>
      <c r="D52" s="33">
        <v>61968</v>
      </c>
    </row>
    <row r="53" spans="1:4" ht="20.25" customHeight="1" x14ac:dyDescent="0.3">
      <c r="A53" s="32">
        <v>46074</v>
      </c>
      <c r="B53" s="5" t="s">
        <v>11</v>
      </c>
      <c r="C53" s="5" t="s">
        <v>5</v>
      </c>
      <c r="D53" s="33">
        <v>74146</v>
      </c>
    </row>
    <row r="54" spans="1:4" ht="20.25" customHeight="1" x14ac:dyDescent="0.3">
      <c r="A54" s="32">
        <v>46075</v>
      </c>
      <c r="B54" s="5" t="s">
        <v>11</v>
      </c>
      <c r="C54" s="5" t="s">
        <v>5</v>
      </c>
      <c r="D54" s="33">
        <v>21949</v>
      </c>
    </row>
    <row r="55" spans="1:4" ht="20.25" customHeight="1" x14ac:dyDescent="0.3">
      <c r="A55" s="32">
        <v>46076</v>
      </c>
      <c r="B55" s="5" t="s">
        <v>9</v>
      </c>
      <c r="C55" s="5" t="s">
        <v>8</v>
      </c>
      <c r="D55" s="33">
        <v>99721</v>
      </c>
    </row>
    <row r="56" spans="1:4" ht="20.25" customHeight="1" x14ac:dyDescent="0.3">
      <c r="A56" s="32">
        <v>46077</v>
      </c>
      <c r="B56" s="5" t="s">
        <v>11</v>
      </c>
      <c r="C56" s="5" t="s">
        <v>10</v>
      </c>
      <c r="D56" s="33">
        <v>79862</v>
      </c>
    </row>
    <row r="57" spans="1:4" ht="20.25" customHeight="1" x14ac:dyDescent="0.3">
      <c r="A57" s="32">
        <v>46078</v>
      </c>
      <c r="B57" s="5" t="s">
        <v>11</v>
      </c>
      <c r="C57" s="5" t="s">
        <v>5</v>
      </c>
      <c r="D57" s="33">
        <v>142110</v>
      </c>
    </row>
    <row r="58" spans="1:4" ht="20.25" customHeight="1" x14ac:dyDescent="0.3">
      <c r="A58" s="32">
        <v>46079</v>
      </c>
      <c r="B58" s="5" t="s">
        <v>11</v>
      </c>
      <c r="C58" s="5" t="s">
        <v>8</v>
      </c>
      <c r="D58" s="33">
        <v>130683</v>
      </c>
    </row>
    <row r="59" spans="1:4" ht="20.25" customHeight="1" x14ac:dyDescent="0.3">
      <c r="A59" s="32">
        <v>46080</v>
      </c>
      <c r="B59" s="5" t="s">
        <v>11</v>
      </c>
      <c r="C59" s="5" t="s">
        <v>6</v>
      </c>
      <c r="D59" s="33">
        <v>47592</v>
      </c>
    </row>
    <row r="60" spans="1:4" ht="20.25" customHeight="1" x14ac:dyDescent="0.3">
      <c r="A60" s="32">
        <v>46081</v>
      </c>
      <c r="B60" s="5" t="s">
        <v>9</v>
      </c>
      <c r="C60" s="5" t="s">
        <v>5</v>
      </c>
      <c r="D60" s="33">
        <v>132040</v>
      </c>
    </row>
    <row r="61" spans="1:4" ht="20.25" customHeight="1" x14ac:dyDescent="0.3">
      <c r="A61" s="32">
        <v>46082</v>
      </c>
      <c r="B61" s="5" t="s">
        <v>11</v>
      </c>
      <c r="C61" s="5" t="s">
        <v>8</v>
      </c>
      <c r="D61" s="33">
        <v>52715</v>
      </c>
    </row>
    <row r="62" spans="1:4" ht="20.25" customHeight="1" x14ac:dyDescent="0.3">
      <c r="A62" s="32">
        <v>46083</v>
      </c>
      <c r="B62" s="5" t="s">
        <v>4</v>
      </c>
      <c r="C62" s="5" t="s">
        <v>6</v>
      </c>
      <c r="D62" s="33">
        <v>24335</v>
      </c>
    </row>
    <row r="63" spans="1:4" ht="20.25" customHeight="1" x14ac:dyDescent="0.3">
      <c r="A63" s="32">
        <v>46084</v>
      </c>
      <c r="B63" s="5" t="s">
        <v>4</v>
      </c>
      <c r="C63" s="5" t="s">
        <v>8</v>
      </c>
      <c r="D63" s="33">
        <v>66226</v>
      </c>
    </row>
    <row r="64" spans="1:4" ht="20.25" customHeight="1" x14ac:dyDescent="0.3">
      <c r="A64" s="32">
        <v>46085</v>
      </c>
      <c r="B64" s="5" t="s">
        <v>11</v>
      </c>
      <c r="C64" s="5" t="s">
        <v>8</v>
      </c>
      <c r="D64" s="33">
        <v>38043</v>
      </c>
    </row>
    <row r="65" spans="1:4" ht="20.25" customHeight="1" x14ac:dyDescent="0.3">
      <c r="A65" s="32">
        <v>46086</v>
      </c>
      <c r="B65" s="5" t="s">
        <v>7</v>
      </c>
      <c r="C65" s="5" t="s">
        <v>10</v>
      </c>
      <c r="D65" s="33">
        <v>24720</v>
      </c>
    </row>
    <row r="66" spans="1:4" ht="20.25" customHeight="1" x14ac:dyDescent="0.3">
      <c r="A66" s="32">
        <v>46087</v>
      </c>
      <c r="B66" s="5" t="s">
        <v>9</v>
      </c>
      <c r="C66" s="5" t="s">
        <v>8</v>
      </c>
      <c r="D66" s="33">
        <v>99433</v>
      </c>
    </row>
    <row r="67" spans="1:4" ht="20.25" customHeight="1" x14ac:dyDescent="0.3">
      <c r="A67" s="32">
        <v>46088</v>
      </c>
      <c r="B67" s="5" t="s">
        <v>4</v>
      </c>
      <c r="C67" s="5" t="s">
        <v>6</v>
      </c>
      <c r="D67" s="33">
        <v>128722</v>
      </c>
    </row>
    <row r="68" spans="1:4" ht="20.25" customHeight="1" x14ac:dyDescent="0.3">
      <c r="A68" s="32">
        <v>46089</v>
      </c>
      <c r="B68" s="5" t="s">
        <v>7</v>
      </c>
      <c r="C68" s="5" t="s">
        <v>6</v>
      </c>
      <c r="D68" s="33">
        <v>36352</v>
      </c>
    </row>
    <row r="69" spans="1:4" ht="20.25" customHeight="1" x14ac:dyDescent="0.3">
      <c r="A69" s="32">
        <v>46090</v>
      </c>
      <c r="B69" s="5" t="s">
        <v>4</v>
      </c>
      <c r="C69" s="5" t="s">
        <v>6</v>
      </c>
      <c r="D69" s="33">
        <v>54780</v>
      </c>
    </row>
    <row r="70" spans="1:4" ht="20.25" customHeight="1" x14ac:dyDescent="0.3">
      <c r="A70" s="32">
        <v>46091</v>
      </c>
      <c r="B70" s="5" t="s">
        <v>4</v>
      </c>
      <c r="C70" s="5" t="s">
        <v>6</v>
      </c>
      <c r="D70" s="33">
        <v>128031</v>
      </c>
    </row>
    <row r="71" spans="1:4" ht="20.25" customHeight="1" x14ac:dyDescent="0.3">
      <c r="A71" s="32">
        <v>46092</v>
      </c>
      <c r="B71" s="5" t="s">
        <v>9</v>
      </c>
      <c r="C71" s="5" t="s">
        <v>5</v>
      </c>
      <c r="D71" s="33">
        <v>70683</v>
      </c>
    </row>
    <row r="72" spans="1:4" ht="20.25" customHeight="1" x14ac:dyDescent="0.3">
      <c r="A72" s="32">
        <v>46093</v>
      </c>
      <c r="B72" s="5" t="s">
        <v>9</v>
      </c>
      <c r="C72" s="5" t="s">
        <v>8</v>
      </c>
      <c r="D72" s="33">
        <v>74088</v>
      </c>
    </row>
    <row r="73" spans="1:4" ht="20.25" customHeight="1" x14ac:dyDescent="0.3">
      <c r="A73" s="32">
        <v>46094</v>
      </c>
      <c r="B73" s="5" t="s">
        <v>4</v>
      </c>
      <c r="C73" s="5" t="s">
        <v>10</v>
      </c>
      <c r="D73" s="33">
        <v>120532</v>
      </c>
    </row>
    <row r="74" spans="1:4" ht="20.25" customHeight="1" x14ac:dyDescent="0.3">
      <c r="A74" s="32">
        <v>46095</v>
      </c>
      <c r="B74" s="5" t="s">
        <v>11</v>
      </c>
      <c r="C74" s="5" t="s">
        <v>5</v>
      </c>
      <c r="D74" s="33">
        <v>133662</v>
      </c>
    </row>
    <row r="75" spans="1:4" ht="20.25" customHeight="1" x14ac:dyDescent="0.3">
      <c r="A75" s="32">
        <v>46096</v>
      </c>
      <c r="B75" s="5" t="s">
        <v>11</v>
      </c>
      <c r="C75" s="5" t="s">
        <v>8</v>
      </c>
      <c r="D75" s="33">
        <v>44874</v>
      </c>
    </row>
    <row r="76" spans="1:4" ht="20.25" customHeight="1" x14ac:dyDescent="0.3">
      <c r="A76" s="32">
        <v>46097</v>
      </c>
      <c r="B76" s="5" t="s">
        <v>7</v>
      </c>
      <c r="C76" s="5" t="s">
        <v>8</v>
      </c>
      <c r="D76" s="33">
        <v>43000</v>
      </c>
    </row>
    <row r="77" spans="1:4" ht="20.25" customHeight="1" x14ac:dyDescent="0.3">
      <c r="A77" s="32">
        <v>46098</v>
      </c>
      <c r="B77" s="5" t="s">
        <v>9</v>
      </c>
      <c r="C77" s="5" t="s">
        <v>10</v>
      </c>
      <c r="D77" s="33">
        <v>28067</v>
      </c>
    </row>
    <row r="78" spans="1:4" ht="20.25" customHeight="1" x14ac:dyDescent="0.3">
      <c r="A78" s="32">
        <v>46099</v>
      </c>
      <c r="B78" s="5" t="s">
        <v>4</v>
      </c>
      <c r="C78" s="5" t="s">
        <v>10</v>
      </c>
      <c r="D78" s="33">
        <v>83494</v>
      </c>
    </row>
    <row r="79" spans="1:4" ht="20.25" customHeight="1" x14ac:dyDescent="0.3">
      <c r="A79" s="32">
        <v>46100</v>
      </c>
      <c r="B79" s="5" t="s">
        <v>11</v>
      </c>
      <c r="C79" s="5" t="s">
        <v>10</v>
      </c>
      <c r="D79" s="33">
        <v>105386</v>
      </c>
    </row>
    <row r="80" spans="1:4" ht="20.25" customHeight="1" x14ac:dyDescent="0.3">
      <c r="A80" s="32">
        <v>46101</v>
      </c>
      <c r="B80" s="5" t="s">
        <v>4</v>
      </c>
      <c r="C80" s="5" t="s">
        <v>10</v>
      </c>
      <c r="D80" s="33">
        <v>66887</v>
      </c>
    </row>
    <row r="81" spans="1:4" ht="20.25" customHeight="1" x14ac:dyDescent="0.3">
      <c r="A81" s="32">
        <v>46102</v>
      </c>
      <c r="B81" s="5" t="s">
        <v>9</v>
      </c>
      <c r="C81" s="5" t="s">
        <v>6</v>
      </c>
      <c r="D81" s="33">
        <v>101403</v>
      </c>
    </row>
    <row r="82" spans="1:4" ht="20.25" customHeight="1" x14ac:dyDescent="0.3">
      <c r="A82" s="32">
        <v>46103</v>
      </c>
      <c r="B82" s="5" t="s">
        <v>11</v>
      </c>
      <c r="C82" s="5" t="s">
        <v>6</v>
      </c>
      <c r="D82" s="33">
        <v>84282</v>
      </c>
    </row>
    <row r="83" spans="1:4" ht="20.25" customHeight="1" x14ac:dyDescent="0.3">
      <c r="A83" s="32">
        <v>46104</v>
      </c>
      <c r="B83" s="5" t="s">
        <v>9</v>
      </c>
      <c r="C83" s="5" t="s">
        <v>10</v>
      </c>
      <c r="D83" s="33">
        <v>52578</v>
      </c>
    </row>
    <row r="84" spans="1:4" ht="20.25" customHeight="1" x14ac:dyDescent="0.3">
      <c r="A84" s="32">
        <v>46105</v>
      </c>
      <c r="B84" s="5" t="s">
        <v>4</v>
      </c>
      <c r="C84" s="5" t="s">
        <v>10</v>
      </c>
      <c r="D84" s="33">
        <v>123273</v>
      </c>
    </row>
    <row r="85" spans="1:4" ht="20.25" customHeight="1" x14ac:dyDescent="0.3">
      <c r="A85" s="32">
        <v>46106</v>
      </c>
      <c r="B85" s="5" t="s">
        <v>7</v>
      </c>
      <c r="C85" s="5" t="s">
        <v>6</v>
      </c>
      <c r="D85" s="33">
        <v>115626</v>
      </c>
    </row>
    <row r="86" spans="1:4" ht="20.25" customHeight="1" x14ac:dyDescent="0.3">
      <c r="A86" s="32">
        <v>46107</v>
      </c>
      <c r="B86" s="5" t="s">
        <v>11</v>
      </c>
      <c r="C86" s="5" t="s">
        <v>10</v>
      </c>
      <c r="D86" s="33">
        <v>116840</v>
      </c>
    </row>
    <row r="87" spans="1:4" ht="20.25" customHeight="1" x14ac:dyDescent="0.3">
      <c r="A87" s="32">
        <v>46108</v>
      </c>
      <c r="B87" s="5" t="s">
        <v>9</v>
      </c>
      <c r="C87" s="5" t="s">
        <v>6</v>
      </c>
      <c r="D87" s="33">
        <v>149617</v>
      </c>
    </row>
    <row r="88" spans="1:4" ht="20.25" customHeight="1" x14ac:dyDescent="0.3">
      <c r="A88" s="32">
        <v>46109</v>
      </c>
      <c r="B88" s="5" t="s">
        <v>7</v>
      </c>
      <c r="C88" s="5" t="s">
        <v>10</v>
      </c>
      <c r="D88" s="33">
        <v>46070</v>
      </c>
    </row>
    <row r="89" spans="1:4" ht="20.25" customHeight="1" x14ac:dyDescent="0.3">
      <c r="A89" s="32">
        <v>46110</v>
      </c>
      <c r="B89" s="5" t="s">
        <v>11</v>
      </c>
      <c r="C89" s="5" t="s">
        <v>5</v>
      </c>
      <c r="D89" s="33">
        <v>19152</v>
      </c>
    </row>
    <row r="90" spans="1:4" ht="20.25" customHeight="1" x14ac:dyDescent="0.3">
      <c r="A90" s="32">
        <v>46111</v>
      </c>
      <c r="B90" s="5" t="s">
        <v>11</v>
      </c>
      <c r="C90" s="5" t="s">
        <v>8</v>
      </c>
      <c r="D90" s="33">
        <v>55328</v>
      </c>
    </row>
    <row r="91" spans="1:4" ht="20.25" customHeight="1" x14ac:dyDescent="0.3">
      <c r="A91" s="32">
        <v>46112</v>
      </c>
      <c r="B91" s="5" t="s">
        <v>9</v>
      </c>
      <c r="C91" s="5" t="s">
        <v>5</v>
      </c>
      <c r="D91" s="33">
        <v>70083</v>
      </c>
    </row>
    <row r="92" spans="1:4" ht="20.25" customHeight="1" x14ac:dyDescent="0.3">
      <c r="A92" s="32">
        <v>46113</v>
      </c>
      <c r="B92" s="5" t="s">
        <v>4</v>
      </c>
      <c r="C92" s="5" t="s">
        <v>8</v>
      </c>
      <c r="D92" s="33">
        <v>27188</v>
      </c>
    </row>
    <row r="93" spans="1:4" ht="20.25" customHeight="1" x14ac:dyDescent="0.3">
      <c r="A93" s="32">
        <v>46114</v>
      </c>
      <c r="B93" s="5" t="s">
        <v>7</v>
      </c>
      <c r="C93" s="5" t="s">
        <v>5</v>
      </c>
      <c r="D93" s="33">
        <v>95741</v>
      </c>
    </row>
    <row r="94" spans="1:4" ht="20.25" customHeight="1" x14ac:dyDescent="0.3">
      <c r="A94" s="32">
        <v>46115</v>
      </c>
      <c r="B94" s="5" t="s">
        <v>4</v>
      </c>
      <c r="C94" s="5" t="s">
        <v>8</v>
      </c>
      <c r="D94" s="33">
        <v>95969</v>
      </c>
    </row>
    <row r="95" spans="1:4" ht="20.25" customHeight="1" x14ac:dyDescent="0.3">
      <c r="A95" s="32">
        <v>46116</v>
      </c>
      <c r="B95" s="5" t="s">
        <v>4</v>
      </c>
      <c r="C95" s="5" t="s">
        <v>8</v>
      </c>
      <c r="D95" s="33">
        <v>120942</v>
      </c>
    </row>
    <row r="96" spans="1:4" ht="20.25" customHeight="1" x14ac:dyDescent="0.3">
      <c r="A96" s="32">
        <v>46117</v>
      </c>
      <c r="B96" s="5" t="s">
        <v>7</v>
      </c>
      <c r="C96" s="5" t="s">
        <v>10</v>
      </c>
      <c r="D96" s="33">
        <v>100087</v>
      </c>
    </row>
    <row r="97" spans="1:4" ht="20.25" customHeight="1" x14ac:dyDescent="0.3">
      <c r="A97" s="32">
        <v>46118</v>
      </c>
      <c r="B97" s="5" t="s">
        <v>11</v>
      </c>
      <c r="C97" s="5" t="s">
        <v>5</v>
      </c>
      <c r="D97" s="33">
        <v>87785</v>
      </c>
    </row>
    <row r="98" spans="1:4" ht="20.25" customHeight="1" x14ac:dyDescent="0.3">
      <c r="A98" s="32">
        <v>46119</v>
      </c>
      <c r="B98" s="5" t="s">
        <v>11</v>
      </c>
      <c r="C98" s="5" t="s">
        <v>8</v>
      </c>
      <c r="D98" s="33">
        <v>109098</v>
      </c>
    </row>
    <row r="99" spans="1:4" ht="20.25" customHeight="1" x14ac:dyDescent="0.3">
      <c r="A99" s="32">
        <v>46120</v>
      </c>
      <c r="B99" s="5" t="s">
        <v>9</v>
      </c>
      <c r="C99" s="5" t="s">
        <v>5</v>
      </c>
      <c r="D99" s="33">
        <v>66975</v>
      </c>
    </row>
    <row r="100" spans="1:4" ht="20.25" customHeight="1" x14ac:dyDescent="0.3">
      <c r="A100" s="32">
        <v>46121</v>
      </c>
      <c r="B100" s="5" t="s">
        <v>9</v>
      </c>
      <c r="C100" s="5" t="s">
        <v>6</v>
      </c>
      <c r="D100" s="33">
        <v>78091</v>
      </c>
    </row>
    <row r="101" spans="1:4" ht="20.25" customHeight="1" x14ac:dyDescent="0.3">
      <c r="A101" s="32">
        <v>46122</v>
      </c>
      <c r="B101" s="5" t="s">
        <v>7</v>
      </c>
      <c r="C101" s="5" t="s">
        <v>10</v>
      </c>
      <c r="D101" s="33">
        <v>72225</v>
      </c>
    </row>
    <row r="102" spans="1:4" ht="20.25" customHeight="1" x14ac:dyDescent="0.3">
      <c r="A102" s="32">
        <v>46123</v>
      </c>
      <c r="B102" s="5" t="s">
        <v>4</v>
      </c>
      <c r="C102" s="5" t="s">
        <v>6</v>
      </c>
      <c r="D102" s="33">
        <v>68496</v>
      </c>
    </row>
    <row r="103" spans="1:4" ht="20.25" customHeight="1" x14ac:dyDescent="0.3">
      <c r="A103" s="32">
        <v>46124</v>
      </c>
      <c r="B103" s="5" t="s">
        <v>7</v>
      </c>
      <c r="C103" s="5" t="s">
        <v>8</v>
      </c>
      <c r="D103" s="33">
        <v>65610</v>
      </c>
    </row>
    <row r="104" spans="1:4" ht="20.25" customHeight="1" x14ac:dyDescent="0.3">
      <c r="A104" s="32">
        <v>46125</v>
      </c>
      <c r="B104" s="5" t="s">
        <v>4</v>
      </c>
      <c r="C104" s="5" t="s">
        <v>8</v>
      </c>
      <c r="D104" s="33">
        <v>94305</v>
      </c>
    </row>
    <row r="105" spans="1:4" ht="20.25" customHeight="1" x14ac:dyDescent="0.3">
      <c r="A105" s="32">
        <v>46126</v>
      </c>
      <c r="B105" s="5" t="s">
        <v>4</v>
      </c>
      <c r="C105" s="5" t="s">
        <v>5</v>
      </c>
      <c r="D105" s="33">
        <v>95073</v>
      </c>
    </row>
    <row r="106" spans="1:4" ht="20.25" customHeight="1" x14ac:dyDescent="0.3">
      <c r="A106" s="32">
        <v>46127</v>
      </c>
      <c r="B106" s="5" t="s">
        <v>9</v>
      </c>
      <c r="C106" s="5" t="s">
        <v>8</v>
      </c>
      <c r="D106" s="33">
        <v>21382</v>
      </c>
    </row>
    <row r="107" spans="1:4" ht="20.25" customHeight="1" x14ac:dyDescent="0.3">
      <c r="A107" s="32">
        <v>46128</v>
      </c>
      <c r="B107" s="5" t="s">
        <v>9</v>
      </c>
      <c r="C107" s="5" t="s">
        <v>5</v>
      </c>
      <c r="D107" s="33">
        <v>68836</v>
      </c>
    </row>
    <row r="108" spans="1:4" ht="20.25" customHeight="1" x14ac:dyDescent="0.3">
      <c r="A108" s="32">
        <v>46129</v>
      </c>
      <c r="B108" s="5" t="s">
        <v>7</v>
      </c>
      <c r="C108" s="5" t="s">
        <v>5</v>
      </c>
      <c r="D108" s="33">
        <v>122396</v>
      </c>
    </row>
    <row r="109" spans="1:4" ht="20.25" customHeight="1" x14ac:dyDescent="0.3">
      <c r="A109" s="32">
        <v>46130</v>
      </c>
      <c r="B109" s="5" t="s">
        <v>7</v>
      </c>
      <c r="C109" s="5" t="s">
        <v>6</v>
      </c>
      <c r="D109" s="33">
        <v>108834</v>
      </c>
    </row>
    <row r="110" spans="1:4" ht="20.25" customHeight="1" x14ac:dyDescent="0.3">
      <c r="A110" s="32">
        <v>46131</v>
      </c>
      <c r="B110" s="5" t="s">
        <v>11</v>
      </c>
      <c r="C110" s="5" t="s">
        <v>5</v>
      </c>
      <c r="D110" s="33">
        <v>61524</v>
      </c>
    </row>
    <row r="111" spans="1:4" ht="20.25" customHeight="1" x14ac:dyDescent="0.3">
      <c r="A111" s="32">
        <v>46132</v>
      </c>
      <c r="B111" s="5" t="s">
        <v>7</v>
      </c>
      <c r="C111" s="5" t="s">
        <v>8</v>
      </c>
      <c r="D111" s="33">
        <v>119514</v>
      </c>
    </row>
    <row r="112" spans="1:4" ht="20.25" customHeight="1" x14ac:dyDescent="0.3">
      <c r="A112" s="32">
        <v>46133</v>
      </c>
      <c r="B112" s="5" t="s">
        <v>9</v>
      </c>
      <c r="C112" s="5" t="s">
        <v>8</v>
      </c>
      <c r="D112" s="33">
        <v>103209</v>
      </c>
    </row>
    <row r="113" spans="1:4" ht="20.25" customHeight="1" x14ac:dyDescent="0.3">
      <c r="A113" s="32">
        <v>46134</v>
      </c>
      <c r="B113" s="5" t="s">
        <v>4</v>
      </c>
      <c r="C113" s="5" t="s">
        <v>8</v>
      </c>
      <c r="D113" s="33">
        <v>132897</v>
      </c>
    </row>
    <row r="114" spans="1:4" ht="20.25" customHeight="1" x14ac:dyDescent="0.3">
      <c r="A114" s="32">
        <v>46135</v>
      </c>
      <c r="B114" s="5" t="s">
        <v>7</v>
      </c>
      <c r="C114" s="5" t="s">
        <v>5</v>
      </c>
      <c r="D114" s="33">
        <v>37098</v>
      </c>
    </row>
    <row r="115" spans="1:4" ht="20.25" customHeight="1" x14ac:dyDescent="0.3">
      <c r="A115" s="32">
        <v>46136</v>
      </c>
      <c r="B115" s="5" t="s">
        <v>9</v>
      </c>
      <c r="C115" s="5" t="s">
        <v>6</v>
      </c>
      <c r="D115" s="33">
        <v>122199</v>
      </c>
    </row>
    <row r="116" spans="1:4" ht="20.25" customHeight="1" x14ac:dyDescent="0.3">
      <c r="A116" s="32">
        <v>46137</v>
      </c>
      <c r="B116" s="5" t="s">
        <v>4</v>
      </c>
      <c r="C116" s="5" t="s">
        <v>8</v>
      </c>
      <c r="D116" s="33">
        <v>90271</v>
      </c>
    </row>
    <row r="117" spans="1:4" ht="20.25" customHeight="1" x14ac:dyDescent="0.3">
      <c r="A117" s="32">
        <v>46138</v>
      </c>
      <c r="B117" s="5" t="s">
        <v>7</v>
      </c>
      <c r="C117" s="5" t="s">
        <v>10</v>
      </c>
      <c r="D117" s="33">
        <v>16929</v>
      </c>
    </row>
    <row r="118" spans="1:4" ht="20.25" customHeight="1" x14ac:dyDescent="0.3">
      <c r="A118" s="32">
        <v>46139</v>
      </c>
      <c r="B118" s="5" t="s">
        <v>9</v>
      </c>
      <c r="C118" s="5" t="s">
        <v>8</v>
      </c>
      <c r="D118" s="33">
        <v>95146</v>
      </c>
    </row>
    <row r="119" spans="1:4" ht="20.25" customHeight="1" x14ac:dyDescent="0.3">
      <c r="A119" s="32">
        <v>46140</v>
      </c>
      <c r="B119" s="5" t="s">
        <v>9</v>
      </c>
      <c r="C119" s="5" t="s">
        <v>8</v>
      </c>
      <c r="D119" s="33">
        <v>24591</v>
      </c>
    </row>
    <row r="120" spans="1:4" ht="20.25" customHeight="1" x14ac:dyDescent="0.3">
      <c r="A120" s="32">
        <v>46141</v>
      </c>
      <c r="B120" s="5" t="s">
        <v>9</v>
      </c>
      <c r="C120" s="5" t="s">
        <v>5</v>
      </c>
      <c r="D120" s="33">
        <v>36450</v>
      </c>
    </row>
    <row r="121" spans="1:4" ht="20.25" customHeight="1" x14ac:dyDescent="0.3">
      <c r="A121" s="32">
        <v>46142</v>
      </c>
      <c r="B121" s="5" t="s">
        <v>4</v>
      </c>
      <c r="C121" s="5" t="s">
        <v>5</v>
      </c>
      <c r="D121" s="33">
        <v>119451</v>
      </c>
    </row>
    <row r="122" spans="1:4" ht="20.25" customHeight="1" x14ac:dyDescent="0.3">
      <c r="A122" s="32">
        <v>46023</v>
      </c>
      <c r="B122" s="5" t="s">
        <v>9</v>
      </c>
      <c r="C122" s="5" t="s">
        <v>10</v>
      </c>
      <c r="D122" s="33">
        <v>72686</v>
      </c>
    </row>
    <row r="123" spans="1:4" ht="20.25" customHeight="1" x14ac:dyDescent="0.3">
      <c r="A123" s="32">
        <v>46024</v>
      </c>
      <c r="B123" s="5" t="s">
        <v>4</v>
      </c>
      <c r="C123" s="5" t="s">
        <v>8</v>
      </c>
      <c r="D123" s="33">
        <v>113228</v>
      </c>
    </row>
    <row r="124" spans="1:4" ht="20.25" customHeight="1" x14ac:dyDescent="0.3">
      <c r="A124" s="32">
        <v>46025</v>
      </c>
      <c r="B124" s="5" t="s">
        <v>11</v>
      </c>
      <c r="C124" s="5" t="s">
        <v>10</v>
      </c>
      <c r="D124" s="33">
        <v>48955</v>
      </c>
    </row>
    <row r="125" spans="1:4" ht="20.25" customHeight="1" x14ac:dyDescent="0.3">
      <c r="A125" s="32">
        <v>46026</v>
      </c>
      <c r="B125" s="5" t="s">
        <v>7</v>
      </c>
      <c r="C125" s="5" t="s">
        <v>5</v>
      </c>
      <c r="D125" s="33">
        <v>34188</v>
      </c>
    </row>
    <row r="126" spans="1:4" ht="20.25" customHeight="1" x14ac:dyDescent="0.3">
      <c r="A126" s="32">
        <v>46027</v>
      </c>
      <c r="B126" s="5" t="s">
        <v>4</v>
      </c>
      <c r="C126" s="5" t="s">
        <v>5</v>
      </c>
      <c r="D126" s="33">
        <v>19819</v>
      </c>
    </row>
    <row r="127" spans="1:4" ht="20.25" customHeight="1" x14ac:dyDescent="0.3">
      <c r="A127" s="32">
        <v>46028</v>
      </c>
      <c r="B127" s="5" t="s">
        <v>11</v>
      </c>
      <c r="C127" s="5" t="s">
        <v>5</v>
      </c>
      <c r="D127" s="33">
        <v>31211</v>
      </c>
    </row>
    <row r="128" spans="1:4" ht="20.25" customHeight="1" x14ac:dyDescent="0.3">
      <c r="A128" s="32">
        <v>46029</v>
      </c>
      <c r="B128" s="5" t="s">
        <v>7</v>
      </c>
      <c r="C128" s="5" t="s">
        <v>5</v>
      </c>
      <c r="D128" s="33">
        <v>139704</v>
      </c>
    </row>
    <row r="129" spans="1:4" ht="20.25" customHeight="1" x14ac:dyDescent="0.3">
      <c r="A129" s="32">
        <v>46030</v>
      </c>
      <c r="B129" s="5" t="s">
        <v>11</v>
      </c>
      <c r="C129" s="5" t="s">
        <v>6</v>
      </c>
      <c r="D129" s="33">
        <v>46649</v>
      </c>
    </row>
    <row r="130" spans="1:4" ht="20.25" customHeight="1" x14ac:dyDescent="0.3">
      <c r="A130" s="32">
        <v>46031</v>
      </c>
      <c r="B130" s="5" t="s">
        <v>7</v>
      </c>
      <c r="C130" s="5" t="s">
        <v>6</v>
      </c>
      <c r="D130" s="33">
        <v>78500</v>
      </c>
    </row>
    <row r="131" spans="1:4" ht="20.25" customHeight="1" x14ac:dyDescent="0.3">
      <c r="A131" s="32">
        <v>46032</v>
      </c>
      <c r="B131" s="5" t="s">
        <v>4</v>
      </c>
      <c r="C131" s="5" t="s">
        <v>6</v>
      </c>
      <c r="D131" s="33">
        <v>55561</v>
      </c>
    </row>
    <row r="132" spans="1:4" ht="20.25" customHeight="1" x14ac:dyDescent="0.3">
      <c r="A132" s="32">
        <v>46033</v>
      </c>
      <c r="B132" s="5" t="s">
        <v>9</v>
      </c>
      <c r="C132" s="5" t="s">
        <v>10</v>
      </c>
      <c r="D132" s="33">
        <v>67960</v>
      </c>
    </row>
    <row r="133" spans="1:4" ht="20.25" customHeight="1" x14ac:dyDescent="0.3">
      <c r="A133" s="32">
        <v>46034</v>
      </c>
      <c r="B133" s="5" t="s">
        <v>4</v>
      </c>
      <c r="C133" s="5" t="s">
        <v>6</v>
      </c>
      <c r="D133" s="33">
        <v>142869</v>
      </c>
    </row>
    <row r="134" spans="1:4" ht="20.25" customHeight="1" x14ac:dyDescent="0.3">
      <c r="A134" s="32">
        <v>46035</v>
      </c>
      <c r="B134" s="5" t="s">
        <v>4</v>
      </c>
      <c r="C134" s="5" t="s">
        <v>6</v>
      </c>
      <c r="D134" s="33">
        <v>112841</v>
      </c>
    </row>
    <row r="135" spans="1:4" ht="20.25" customHeight="1" x14ac:dyDescent="0.3">
      <c r="A135" s="32">
        <v>46036</v>
      </c>
      <c r="B135" s="5" t="s">
        <v>7</v>
      </c>
      <c r="C135" s="5" t="s">
        <v>10</v>
      </c>
      <c r="D135" s="33">
        <v>104316</v>
      </c>
    </row>
    <row r="136" spans="1:4" ht="20.25" customHeight="1" x14ac:dyDescent="0.3">
      <c r="A136" s="32">
        <v>46037</v>
      </c>
      <c r="B136" s="5" t="s">
        <v>4</v>
      </c>
      <c r="C136" s="5" t="s">
        <v>6</v>
      </c>
      <c r="D136" s="33">
        <v>81899</v>
      </c>
    </row>
    <row r="137" spans="1:4" ht="20.25" customHeight="1" x14ac:dyDescent="0.3">
      <c r="A137" s="32">
        <v>46038</v>
      </c>
      <c r="B137" s="5" t="s">
        <v>7</v>
      </c>
      <c r="C137" s="5" t="s">
        <v>5</v>
      </c>
      <c r="D137" s="33">
        <v>82569</v>
      </c>
    </row>
    <row r="138" spans="1:4" ht="20.25" customHeight="1" x14ac:dyDescent="0.3">
      <c r="A138" s="32">
        <v>46039</v>
      </c>
      <c r="B138" s="5" t="s">
        <v>7</v>
      </c>
      <c r="C138" s="5" t="s">
        <v>6</v>
      </c>
      <c r="D138" s="33">
        <v>44806</v>
      </c>
    </row>
    <row r="139" spans="1:4" ht="20.25" customHeight="1" x14ac:dyDescent="0.3">
      <c r="A139" s="32">
        <v>46040</v>
      </c>
      <c r="B139" s="5" t="s">
        <v>4</v>
      </c>
      <c r="C139" s="5" t="s">
        <v>5</v>
      </c>
      <c r="D139" s="33">
        <v>133232</v>
      </c>
    </row>
    <row r="140" spans="1:4" ht="20.25" customHeight="1" x14ac:dyDescent="0.3">
      <c r="A140" s="32">
        <v>46041</v>
      </c>
      <c r="B140" s="5" t="s">
        <v>4</v>
      </c>
      <c r="C140" s="5" t="s">
        <v>5</v>
      </c>
      <c r="D140" s="33">
        <v>109813</v>
      </c>
    </row>
    <row r="141" spans="1:4" ht="20.25" customHeight="1" x14ac:dyDescent="0.3">
      <c r="A141" s="32">
        <v>46042</v>
      </c>
      <c r="B141" s="5" t="s">
        <v>7</v>
      </c>
      <c r="C141" s="5" t="s">
        <v>6</v>
      </c>
      <c r="D141" s="33">
        <v>121014</v>
      </c>
    </row>
    <row r="142" spans="1:4" ht="20.25" customHeight="1" x14ac:dyDescent="0.3">
      <c r="A142" s="32">
        <v>46043</v>
      </c>
      <c r="B142" s="5" t="s">
        <v>7</v>
      </c>
      <c r="C142" s="5" t="s">
        <v>10</v>
      </c>
      <c r="D142" s="33">
        <v>120313</v>
      </c>
    </row>
    <row r="143" spans="1:4" ht="20.25" customHeight="1" x14ac:dyDescent="0.3">
      <c r="A143" s="32">
        <v>46044</v>
      </c>
      <c r="B143" s="5" t="s">
        <v>4</v>
      </c>
      <c r="C143" s="5" t="s">
        <v>5</v>
      </c>
      <c r="D143" s="33">
        <v>24056</v>
      </c>
    </row>
    <row r="144" spans="1:4" ht="20.25" customHeight="1" x14ac:dyDescent="0.3">
      <c r="A144" s="32">
        <v>46045</v>
      </c>
      <c r="B144" s="5" t="s">
        <v>4</v>
      </c>
      <c r="C144" s="5" t="s">
        <v>5</v>
      </c>
      <c r="D144" s="33">
        <v>118234</v>
      </c>
    </row>
    <row r="145" spans="1:4" ht="20.25" customHeight="1" x14ac:dyDescent="0.3">
      <c r="A145" s="32">
        <v>46046</v>
      </c>
      <c r="B145" s="5" t="s">
        <v>11</v>
      </c>
      <c r="C145" s="5" t="s">
        <v>6</v>
      </c>
      <c r="D145" s="33">
        <v>98556</v>
      </c>
    </row>
    <row r="146" spans="1:4" ht="20.25" customHeight="1" x14ac:dyDescent="0.3">
      <c r="A146" s="32">
        <v>46047</v>
      </c>
      <c r="B146" s="5" t="s">
        <v>9</v>
      </c>
      <c r="C146" s="5" t="s">
        <v>8</v>
      </c>
      <c r="D146" s="33">
        <v>115324</v>
      </c>
    </row>
    <row r="147" spans="1:4" ht="20.25" customHeight="1" x14ac:dyDescent="0.3">
      <c r="A147" s="32">
        <v>46048</v>
      </c>
      <c r="B147" s="5" t="s">
        <v>11</v>
      </c>
      <c r="C147" s="5" t="s">
        <v>5</v>
      </c>
      <c r="D147" s="33">
        <v>109110</v>
      </c>
    </row>
    <row r="148" spans="1:4" ht="20.25" customHeight="1" x14ac:dyDescent="0.3">
      <c r="A148" s="32">
        <v>46049</v>
      </c>
      <c r="B148" s="5" t="s">
        <v>9</v>
      </c>
      <c r="C148" s="5" t="s">
        <v>6</v>
      </c>
      <c r="D148" s="33">
        <v>83246</v>
      </c>
    </row>
    <row r="149" spans="1:4" ht="20.25" customHeight="1" x14ac:dyDescent="0.3">
      <c r="A149" s="32">
        <v>46050</v>
      </c>
      <c r="B149" s="5" t="s">
        <v>11</v>
      </c>
      <c r="C149" s="5" t="s">
        <v>5</v>
      </c>
      <c r="D149" s="33">
        <v>115711</v>
      </c>
    </row>
    <row r="150" spans="1:4" ht="20.25" customHeight="1" x14ac:dyDescent="0.3">
      <c r="A150" s="32">
        <v>46051</v>
      </c>
      <c r="B150" s="5" t="s">
        <v>7</v>
      </c>
      <c r="C150" s="5" t="s">
        <v>6</v>
      </c>
      <c r="D150" s="33">
        <v>113042</v>
      </c>
    </row>
    <row r="151" spans="1:4" ht="20.25" customHeight="1" x14ac:dyDescent="0.3">
      <c r="A151" s="34">
        <v>46052</v>
      </c>
      <c r="B151" s="35" t="s">
        <v>9</v>
      </c>
      <c r="C151" s="35" t="s">
        <v>10</v>
      </c>
      <c r="D151" s="36">
        <v>130126</v>
      </c>
    </row>
  </sheetData>
  <mergeCells count="2">
    <mergeCell ref="G7:G9"/>
    <mergeCell ref="F7:F9"/>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
  <sheetViews>
    <sheetView workbookViewId="0">
      <selection activeCell="S62" sqref="S62"/>
    </sheetView>
  </sheetViews>
  <sheetFormatPr defaultColWidth="9.109375" defaultRowHeight="14.4" x14ac:dyDescent="0.3"/>
  <cols>
    <col min="1" max="1" width="12.6640625" style="11" bestFit="1" customWidth="1"/>
    <col min="2" max="2" width="14.109375" style="11" bestFit="1" customWidth="1"/>
    <col min="3" max="3" width="17.6640625" style="11" bestFit="1" customWidth="1"/>
    <col min="4" max="4" width="15.5546875" style="11" customWidth="1"/>
    <col min="5" max="6" width="12" style="11" bestFit="1" customWidth="1"/>
    <col min="7" max="7" width="9.109375" style="11"/>
    <col min="8" max="8" width="9.6640625" style="11" customWidth="1"/>
    <col min="9" max="16384" width="9.109375" style="11"/>
  </cols>
  <sheetData>
    <row r="1" spans="1:19" ht="15" thickBot="1" x14ac:dyDescent="0.35">
      <c r="A1" s="51" t="s">
        <v>12</v>
      </c>
      <c r="B1" s="52" t="s">
        <v>13</v>
      </c>
      <c r="C1" s="52" t="s">
        <v>143</v>
      </c>
      <c r="D1" s="52" t="s">
        <v>359</v>
      </c>
      <c r="E1" s="52" t="s">
        <v>360</v>
      </c>
      <c r="F1" s="53" t="s">
        <v>361</v>
      </c>
    </row>
    <row r="2" spans="1:19" x14ac:dyDescent="0.3">
      <c r="A2" s="45" t="s">
        <v>14</v>
      </c>
      <c r="B2" s="12" t="s">
        <v>15</v>
      </c>
      <c r="C2" s="13" t="str">
        <f>_xlfn.XLOOKUP(Sales_data[[#This Row],[Customer ID]],Customer_master[Customer ID],Customer_master[Customer Name],"Customer Not Found")</f>
        <v>Tania</v>
      </c>
      <c r="D2" s="13" t="str">
        <f>_xlfn.XLOOKUP(Sales_data[[#This Row],[Customer ID]],Customer_master[Customer ID],Customer_master[Region],"Customer Not Found")</f>
        <v>Chattogram</v>
      </c>
      <c r="E2" s="12">
        <v>6</v>
      </c>
      <c r="F2" s="46">
        <v>2931</v>
      </c>
      <c r="H2" s="98" t="s">
        <v>367</v>
      </c>
      <c r="I2" s="99"/>
      <c r="J2" s="99"/>
      <c r="K2" s="99"/>
      <c r="L2" s="99"/>
      <c r="M2" s="99"/>
      <c r="N2" s="99"/>
      <c r="O2" s="100"/>
    </row>
    <row r="3" spans="1:19" x14ac:dyDescent="0.3">
      <c r="A3" s="45" t="s">
        <v>16</v>
      </c>
      <c r="B3" s="12" t="s">
        <v>17</v>
      </c>
      <c r="C3" s="13" t="str">
        <f>_xlfn.XLOOKUP(Sales_data[[#This Row],[Customer ID]],Customer_master[Customer ID],Customer_master[Customer Name],"Customer Not Found")</f>
        <v>Rima</v>
      </c>
      <c r="D3" s="13" t="str">
        <f>_xlfn.XLOOKUP(Sales_data[[#This Row],[Customer ID]],Customer_master[Customer ID],Customer_master[Region],"Customer Not Found")</f>
        <v>Khulna</v>
      </c>
      <c r="E3" s="12">
        <v>15</v>
      </c>
      <c r="F3" s="46">
        <v>3621</v>
      </c>
      <c r="H3" s="101"/>
      <c r="I3" s="102"/>
      <c r="J3" s="102"/>
      <c r="K3" s="102"/>
      <c r="L3" s="102"/>
      <c r="M3" s="102"/>
      <c r="N3" s="102"/>
      <c r="O3" s="103"/>
    </row>
    <row r="4" spans="1:19" x14ac:dyDescent="0.3">
      <c r="A4" s="45" t="s">
        <v>18</v>
      </c>
      <c r="B4" s="12" t="s">
        <v>19</v>
      </c>
      <c r="C4" s="13" t="str">
        <f>_xlfn.XLOOKUP(Sales_data[[#This Row],[Customer ID]],Customer_master[Customer ID],Customer_master[Customer Name],"Customer Not Found")</f>
        <v>Rifat</v>
      </c>
      <c r="D4" s="13" t="str">
        <f>_xlfn.XLOOKUP(Sales_data[[#This Row],[Customer ID]],Customer_master[Customer ID],Customer_master[Region],"Customer Not Found")</f>
        <v>Khulna</v>
      </c>
      <c r="E4" s="12">
        <v>1</v>
      </c>
      <c r="F4" s="46">
        <v>3657</v>
      </c>
      <c r="H4" s="101"/>
      <c r="I4" s="102"/>
      <c r="J4" s="102"/>
      <c r="K4" s="102"/>
      <c r="L4" s="102"/>
      <c r="M4" s="102"/>
      <c r="N4" s="102"/>
      <c r="O4" s="103"/>
    </row>
    <row r="5" spans="1:19" x14ac:dyDescent="0.3">
      <c r="A5" s="45" t="s">
        <v>20</v>
      </c>
      <c r="B5" s="12" t="s">
        <v>21</v>
      </c>
      <c r="C5" s="13" t="str">
        <f>_xlfn.XLOOKUP(Sales_data[[#This Row],[Customer ID]],Customer_master[Customer ID],Customer_master[Customer Name],"Customer Not Found")</f>
        <v>Nabila</v>
      </c>
      <c r="D5" s="13" t="str">
        <f>_xlfn.XLOOKUP(Sales_data[[#This Row],[Customer ID]],Customer_master[Customer ID],Customer_master[Region],"Customer Not Found")</f>
        <v>Khulna</v>
      </c>
      <c r="E5" s="12">
        <v>6</v>
      </c>
      <c r="F5" s="46">
        <v>554</v>
      </c>
      <c r="H5" s="101"/>
      <c r="I5" s="102"/>
      <c r="J5" s="102"/>
      <c r="K5" s="102"/>
      <c r="L5" s="102"/>
      <c r="M5" s="102"/>
      <c r="N5" s="102"/>
      <c r="O5" s="103"/>
    </row>
    <row r="6" spans="1:19" x14ac:dyDescent="0.3">
      <c r="A6" s="45" t="s">
        <v>22</v>
      </c>
      <c r="B6" s="12" t="s">
        <v>23</v>
      </c>
      <c r="C6" s="13" t="str">
        <f>_xlfn.XLOOKUP(Sales_data[[#This Row],[Customer ID]],Customer_master[Customer ID],Customer_master[Customer Name],"Customer Not Found")</f>
        <v>Sadia</v>
      </c>
      <c r="D6" s="13" t="str">
        <f>_xlfn.XLOOKUP(Sales_data[[#This Row],[Customer ID]],Customer_master[Customer ID],Customer_master[Region],"Customer Not Found")</f>
        <v>Khulna</v>
      </c>
      <c r="E6" s="12">
        <v>17</v>
      </c>
      <c r="F6" s="46">
        <v>2533</v>
      </c>
      <c r="H6" s="101"/>
      <c r="I6" s="102"/>
      <c r="J6" s="102"/>
      <c r="K6" s="102"/>
      <c r="L6" s="102"/>
      <c r="M6" s="102"/>
      <c r="N6" s="102"/>
      <c r="O6" s="103"/>
    </row>
    <row r="7" spans="1:19" x14ac:dyDescent="0.3">
      <c r="A7" s="45" t="s">
        <v>24</v>
      </c>
      <c r="B7" s="12" t="s">
        <v>25</v>
      </c>
      <c r="C7" s="13" t="str">
        <f>_xlfn.XLOOKUP(Sales_data[[#This Row],[Customer ID]],Customer_master[Customer ID],Customer_master[Customer Name],"Customer Not Found")</f>
        <v>Nadia</v>
      </c>
      <c r="D7" s="13" t="str">
        <f>_xlfn.XLOOKUP(Sales_data[[#This Row],[Customer ID]],Customer_master[Customer ID],Customer_master[Region],"Customer Not Found")</f>
        <v>Khulna</v>
      </c>
      <c r="E7" s="12">
        <v>12</v>
      </c>
      <c r="F7" s="46">
        <v>3835</v>
      </c>
      <c r="H7" s="101"/>
      <c r="I7" s="102"/>
      <c r="J7" s="102"/>
      <c r="K7" s="102"/>
      <c r="L7" s="102"/>
      <c r="M7" s="102"/>
      <c r="N7" s="102"/>
      <c r="O7" s="103"/>
    </row>
    <row r="8" spans="1:19" x14ac:dyDescent="0.3">
      <c r="A8" s="45" t="s">
        <v>26</v>
      </c>
      <c r="B8" s="12" t="s">
        <v>19</v>
      </c>
      <c r="C8" s="13" t="str">
        <f>_xlfn.XLOOKUP(Sales_data[[#This Row],[Customer ID]],Customer_master[Customer ID],Customer_master[Customer Name],"Customer Not Found")</f>
        <v>Rifat</v>
      </c>
      <c r="D8" s="13" t="str">
        <f>_xlfn.XLOOKUP(Sales_data[[#This Row],[Customer ID]],Customer_master[Customer ID],Customer_master[Region],"Customer Not Found")</f>
        <v>Khulna</v>
      </c>
      <c r="E8" s="12">
        <v>10</v>
      </c>
      <c r="F8" s="46">
        <v>3934</v>
      </c>
      <c r="H8" s="101"/>
      <c r="I8" s="102"/>
      <c r="J8" s="102"/>
      <c r="K8" s="102"/>
      <c r="L8" s="102"/>
      <c r="M8" s="102"/>
      <c r="N8" s="102"/>
      <c r="O8" s="103"/>
    </row>
    <row r="9" spans="1:19" x14ac:dyDescent="0.3">
      <c r="A9" s="45" t="s">
        <v>27</v>
      </c>
      <c r="B9" s="12" t="s">
        <v>28</v>
      </c>
      <c r="C9" s="13" t="str">
        <f>_xlfn.XLOOKUP(Sales_data[[#This Row],[Customer ID]],Customer_master[Customer ID],Customer_master[Customer Name],"Customer Not Found")</f>
        <v>Nabila</v>
      </c>
      <c r="D9" s="13" t="str">
        <f>_xlfn.XLOOKUP(Sales_data[[#This Row],[Customer ID]],Customer_master[Customer ID],Customer_master[Region],"Customer Not Found")</f>
        <v>Sylhet</v>
      </c>
      <c r="E9" s="12">
        <v>8</v>
      </c>
      <c r="F9" s="46">
        <v>1200</v>
      </c>
      <c r="H9" s="101"/>
      <c r="I9" s="102"/>
      <c r="J9" s="102"/>
      <c r="K9" s="102"/>
      <c r="L9" s="102"/>
      <c r="M9" s="102"/>
      <c r="N9" s="102"/>
      <c r="O9" s="103"/>
    </row>
    <row r="10" spans="1:19" ht="15" thickBot="1" x14ac:dyDescent="0.35">
      <c r="A10" s="45" t="s">
        <v>29</v>
      </c>
      <c r="B10" s="12" t="s">
        <v>30</v>
      </c>
      <c r="C10" s="13" t="str">
        <f>_xlfn.XLOOKUP(Sales_data[[#This Row],[Customer ID]],Customer_master[Customer ID],Customer_master[Customer Name],"Customer Not Found")</f>
        <v>Nadia</v>
      </c>
      <c r="D10" s="13" t="str">
        <f>_xlfn.XLOOKUP(Sales_data[[#This Row],[Customer ID]],Customer_master[Customer ID],Customer_master[Region],"Customer Not Found")</f>
        <v>Chattogram</v>
      </c>
      <c r="E10" s="12">
        <v>9</v>
      </c>
      <c r="F10" s="46">
        <v>1207</v>
      </c>
      <c r="H10" s="104"/>
      <c r="I10" s="105"/>
      <c r="J10" s="105"/>
      <c r="K10" s="105"/>
      <c r="L10" s="105"/>
      <c r="M10" s="105"/>
      <c r="N10" s="105"/>
      <c r="O10" s="106"/>
    </row>
    <row r="11" spans="1:19" x14ac:dyDescent="0.3">
      <c r="A11" s="45" t="s">
        <v>31</v>
      </c>
      <c r="B11" s="12" t="s">
        <v>19</v>
      </c>
      <c r="C11" s="13" t="str">
        <f>_xlfn.XLOOKUP(Sales_data[[#This Row],[Customer ID]],Customer_master[Customer ID],Customer_master[Customer Name],"Customer Not Found")</f>
        <v>Rifat</v>
      </c>
      <c r="D11" s="13" t="str">
        <f>_xlfn.XLOOKUP(Sales_data[[#This Row],[Customer ID]],Customer_master[Customer ID],Customer_master[Region],"Customer Not Found")</f>
        <v>Khulna</v>
      </c>
      <c r="E11" s="12">
        <v>17</v>
      </c>
      <c r="F11" s="46">
        <v>3195</v>
      </c>
    </row>
    <row r="12" spans="1:19" x14ac:dyDescent="0.3">
      <c r="A12" s="45" t="s">
        <v>32</v>
      </c>
      <c r="B12" s="12" t="s">
        <v>33</v>
      </c>
      <c r="C12" s="13" t="str">
        <f>_xlfn.XLOOKUP(Sales_data[[#This Row],[Customer ID]],Customer_master[Customer ID],Customer_master[Customer Name],"Customer Not Found")</f>
        <v>Jui</v>
      </c>
      <c r="D12" s="13" t="str">
        <f>_xlfn.XLOOKUP(Sales_data[[#This Row],[Customer ID]],Customer_master[Customer ID],Customer_master[Region],"Customer Not Found")</f>
        <v>Sylhet</v>
      </c>
      <c r="E12" s="12">
        <v>7</v>
      </c>
      <c r="F12" s="46">
        <v>1133</v>
      </c>
    </row>
    <row r="13" spans="1:19" x14ac:dyDescent="0.3">
      <c r="A13" s="45" t="s">
        <v>34</v>
      </c>
      <c r="B13" s="12" t="s">
        <v>35</v>
      </c>
      <c r="C13" s="13" t="str">
        <f>_xlfn.XLOOKUP(Sales_data[[#This Row],[Customer ID]],Customer_master[Customer ID],Customer_master[Customer Name],"Customer Not Found")</f>
        <v>Rahim</v>
      </c>
      <c r="D13" s="13" t="str">
        <f>_xlfn.XLOOKUP(Sales_data[[#This Row],[Customer ID]],Customer_master[Customer ID],Customer_master[Region],"Customer Not Found")</f>
        <v>Khulna</v>
      </c>
      <c r="E13" s="12">
        <v>6</v>
      </c>
      <c r="F13" s="46">
        <v>993</v>
      </c>
    </row>
    <row r="14" spans="1:19" x14ac:dyDescent="0.3">
      <c r="A14" s="45" t="s">
        <v>36</v>
      </c>
      <c r="B14" s="12" t="s">
        <v>33</v>
      </c>
      <c r="C14" s="13" t="str">
        <f>_xlfn.XLOOKUP(Sales_data[[#This Row],[Customer ID]],Customer_master[Customer ID],Customer_master[Customer Name],"Customer Not Found")</f>
        <v>Jui</v>
      </c>
      <c r="D14" s="13" t="str">
        <f>_xlfn.XLOOKUP(Sales_data[[#This Row],[Customer ID]],Customer_master[Customer ID],Customer_master[Region],"Customer Not Found")</f>
        <v>Sylhet</v>
      </c>
      <c r="E14" s="12">
        <v>4</v>
      </c>
      <c r="F14" s="46">
        <v>3928</v>
      </c>
      <c r="H14" s="109" t="s">
        <v>747</v>
      </c>
      <c r="I14" s="110"/>
      <c r="J14" s="107" t="s">
        <v>746</v>
      </c>
      <c r="K14" s="107"/>
      <c r="L14" s="107"/>
      <c r="M14" s="107"/>
      <c r="N14" s="107"/>
      <c r="O14" s="107"/>
      <c r="P14" s="107"/>
      <c r="Q14" s="107"/>
      <c r="R14" s="107"/>
      <c r="S14" s="92"/>
    </row>
    <row r="15" spans="1:19" x14ac:dyDescent="0.3">
      <c r="A15" s="45" t="s">
        <v>37</v>
      </c>
      <c r="B15" s="12" t="s">
        <v>35</v>
      </c>
      <c r="C15" s="13" t="str">
        <f>_xlfn.XLOOKUP(Sales_data[[#This Row],[Customer ID]],Customer_master[Customer ID],Customer_master[Customer Name],"Customer Not Found")</f>
        <v>Rahim</v>
      </c>
      <c r="D15" s="13" t="str">
        <f>_xlfn.XLOOKUP(Sales_data[[#This Row],[Customer ID]],Customer_master[Customer ID],Customer_master[Region],"Customer Not Found")</f>
        <v>Khulna</v>
      </c>
      <c r="E15" s="12">
        <v>15</v>
      </c>
      <c r="F15" s="46">
        <v>1416</v>
      </c>
      <c r="H15" s="111"/>
      <c r="I15" s="112"/>
      <c r="J15" s="108"/>
      <c r="K15" s="108"/>
      <c r="L15" s="108"/>
      <c r="M15" s="108"/>
      <c r="N15" s="108"/>
      <c r="O15" s="108"/>
      <c r="P15" s="108"/>
      <c r="Q15" s="108"/>
      <c r="R15" s="108"/>
      <c r="S15" s="94"/>
    </row>
    <row r="16" spans="1:19" x14ac:dyDescent="0.3">
      <c r="A16" s="45" t="s">
        <v>38</v>
      </c>
      <c r="B16" s="12" t="s">
        <v>39</v>
      </c>
      <c r="C16" s="13" t="str">
        <f>_xlfn.XLOOKUP(Sales_data[[#This Row],[Customer ID]],Customer_master[Customer ID],Customer_master[Customer Name],"Customer Not Found")</f>
        <v>Rifat</v>
      </c>
      <c r="D16" s="13" t="str">
        <f>_xlfn.XLOOKUP(Sales_data[[#This Row],[Customer ID]],Customer_master[Customer ID],Customer_master[Region],"Customer Not Found")</f>
        <v>Dhaka</v>
      </c>
      <c r="E16" s="12">
        <v>11</v>
      </c>
      <c r="F16" s="46">
        <v>1530</v>
      </c>
    </row>
    <row r="17" spans="1:19" x14ac:dyDescent="0.3">
      <c r="A17" s="45" t="s">
        <v>40</v>
      </c>
      <c r="B17" s="12" t="s">
        <v>30</v>
      </c>
      <c r="C17" s="13" t="str">
        <f>_xlfn.XLOOKUP(Sales_data[[#This Row],[Customer ID]],Customer_master[Customer ID],Customer_master[Customer Name],"Customer Not Found")</f>
        <v>Nadia</v>
      </c>
      <c r="D17" s="13" t="str">
        <f>_xlfn.XLOOKUP(Sales_data[[#This Row],[Customer ID]],Customer_master[Customer ID],Customer_master[Region],"Customer Not Found")</f>
        <v>Chattogram</v>
      </c>
      <c r="E17" s="12">
        <v>8</v>
      </c>
      <c r="F17" s="46">
        <v>1532</v>
      </c>
    </row>
    <row r="18" spans="1:19" ht="15.6" customHeight="1" x14ac:dyDescent="0.3">
      <c r="A18" s="45" t="s">
        <v>41</v>
      </c>
      <c r="B18" s="12" t="s">
        <v>15</v>
      </c>
      <c r="C18" s="13" t="str">
        <f>_xlfn.XLOOKUP(Sales_data[[#This Row],[Customer ID]],Customer_master[Customer ID],Customer_master[Customer Name],"Customer Not Found")</f>
        <v>Tania</v>
      </c>
      <c r="D18" s="13" t="str">
        <f>_xlfn.XLOOKUP(Sales_data[[#This Row],[Customer ID]],Customer_master[Customer ID],Customer_master[Region],"Customer Not Found")</f>
        <v>Chattogram</v>
      </c>
      <c r="E18" s="12">
        <v>18</v>
      </c>
      <c r="F18" s="46">
        <v>1435</v>
      </c>
      <c r="H18" s="109" t="s">
        <v>749</v>
      </c>
      <c r="I18" s="110"/>
      <c r="J18" s="107" t="s">
        <v>748</v>
      </c>
      <c r="K18" s="107"/>
      <c r="L18" s="107"/>
      <c r="M18" s="107"/>
      <c r="N18" s="107"/>
      <c r="O18" s="107"/>
      <c r="P18" s="107"/>
      <c r="Q18" s="107"/>
      <c r="R18" s="107"/>
      <c r="S18" s="92"/>
    </row>
    <row r="19" spans="1:19" ht="15.6" customHeight="1" x14ac:dyDescent="0.3">
      <c r="A19" s="45" t="s">
        <v>42</v>
      </c>
      <c r="B19" s="12" t="s">
        <v>43</v>
      </c>
      <c r="C19" s="13" t="str">
        <f>_xlfn.XLOOKUP(Sales_data[[#This Row],[Customer ID]],Customer_master[Customer ID],Customer_master[Customer Name],"Customer Not Found")</f>
        <v>Nadia</v>
      </c>
      <c r="D19" s="13" t="str">
        <f>_xlfn.XLOOKUP(Sales_data[[#This Row],[Customer ID]],Customer_master[Customer ID],Customer_master[Region],"Customer Not Found")</f>
        <v>Dhaka</v>
      </c>
      <c r="E19" s="12">
        <v>1</v>
      </c>
      <c r="F19" s="46">
        <v>572</v>
      </c>
      <c r="H19" s="111"/>
      <c r="I19" s="112"/>
      <c r="J19" s="108"/>
      <c r="K19" s="108"/>
      <c r="L19" s="108"/>
      <c r="M19" s="108"/>
      <c r="N19" s="108"/>
      <c r="O19" s="108"/>
      <c r="P19" s="108"/>
      <c r="Q19" s="108"/>
      <c r="R19" s="108"/>
      <c r="S19" s="94"/>
    </row>
    <row r="20" spans="1:19" x14ac:dyDescent="0.3">
      <c r="A20" s="45" t="s">
        <v>44</v>
      </c>
      <c r="B20" s="12" t="s">
        <v>23</v>
      </c>
      <c r="C20" s="13" t="str">
        <f>_xlfn.XLOOKUP(Sales_data[[#This Row],[Customer ID]],Customer_master[Customer ID],Customer_master[Customer Name],"Customer Not Found")</f>
        <v>Sadia</v>
      </c>
      <c r="D20" s="13" t="str">
        <f>_xlfn.XLOOKUP(Sales_data[[#This Row],[Customer ID]],Customer_master[Customer ID],Customer_master[Region],"Customer Not Found")</f>
        <v>Khulna</v>
      </c>
      <c r="E20" s="12">
        <v>11</v>
      </c>
      <c r="F20" s="46">
        <v>1985</v>
      </c>
    </row>
    <row r="21" spans="1:19" x14ac:dyDescent="0.3">
      <c r="A21" s="45" t="s">
        <v>45</v>
      </c>
      <c r="B21" s="12" t="s">
        <v>46</v>
      </c>
      <c r="C21" s="13" t="str">
        <f>_xlfn.XLOOKUP(Sales_data[[#This Row],[Customer ID]],Customer_master[Customer ID],Customer_master[Customer Name],"Customer Not Found")</f>
        <v>Rifat</v>
      </c>
      <c r="D21" s="13" t="str">
        <f>_xlfn.XLOOKUP(Sales_data[[#This Row],[Customer ID]],Customer_master[Customer ID],Customer_master[Region],"Customer Not Found")</f>
        <v>Chattogram</v>
      </c>
      <c r="E21" s="12">
        <v>8</v>
      </c>
      <c r="F21" s="46">
        <v>3017</v>
      </c>
    </row>
    <row r="22" spans="1:19" x14ac:dyDescent="0.3">
      <c r="A22" s="45" t="s">
        <v>47</v>
      </c>
      <c r="B22" s="12" t="s">
        <v>25</v>
      </c>
      <c r="C22" s="13" t="str">
        <f>_xlfn.XLOOKUP(Sales_data[[#This Row],[Customer ID]],Customer_master[Customer ID],Customer_master[Customer Name],"Customer Not Found")</f>
        <v>Nadia</v>
      </c>
      <c r="D22" s="13" t="str">
        <f>_xlfn.XLOOKUP(Sales_data[[#This Row],[Customer ID]],Customer_master[Customer ID],Customer_master[Region],"Customer Not Found")</f>
        <v>Khulna</v>
      </c>
      <c r="E22" s="12">
        <v>19</v>
      </c>
      <c r="F22" s="46">
        <v>3625</v>
      </c>
    </row>
    <row r="23" spans="1:19" x14ac:dyDescent="0.3">
      <c r="A23" s="45" t="s">
        <v>48</v>
      </c>
      <c r="B23" s="12" t="s">
        <v>49</v>
      </c>
      <c r="C23" s="13" t="str">
        <f>_xlfn.XLOOKUP(Sales_data[[#This Row],[Customer ID]],Customer_master[Customer ID],Customer_master[Customer Name],"Customer Not Found")</f>
        <v>Nabila</v>
      </c>
      <c r="D23" s="13" t="str">
        <f>_xlfn.XLOOKUP(Sales_data[[#This Row],[Customer ID]],Customer_master[Customer ID],Customer_master[Region],"Customer Not Found")</f>
        <v>Dhaka</v>
      </c>
      <c r="E23" s="12">
        <v>5</v>
      </c>
      <c r="F23" s="46">
        <v>3661</v>
      </c>
    </row>
    <row r="24" spans="1:19" x14ac:dyDescent="0.3">
      <c r="A24" s="45" t="s">
        <v>50</v>
      </c>
      <c r="B24" s="12" t="s">
        <v>51</v>
      </c>
      <c r="C24" s="13" t="str">
        <f>_xlfn.XLOOKUP(Sales_data[[#This Row],[Customer ID]],Customer_master[Customer ID],Customer_master[Customer Name],"Customer Not Found")</f>
        <v>Sadia</v>
      </c>
      <c r="D24" s="13" t="str">
        <f>_xlfn.XLOOKUP(Sales_data[[#This Row],[Customer ID]],Customer_master[Customer ID],Customer_master[Region],"Customer Not Found")</f>
        <v>Khulna</v>
      </c>
      <c r="E24" s="12">
        <v>18</v>
      </c>
      <c r="F24" s="46">
        <v>2530</v>
      </c>
    </row>
    <row r="25" spans="1:19" x14ac:dyDescent="0.3">
      <c r="A25" s="45" t="s">
        <v>52</v>
      </c>
      <c r="B25" s="12" t="s">
        <v>15</v>
      </c>
      <c r="C25" s="13" t="str">
        <f>_xlfn.XLOOKUP(Sales_data[[#This Row],[Customer ID]],Customer_master[Customer ID],Customer_master[Customer Name],"Customer Not Found")</f>
        <v>Tania</v>
      </c>
      <c r="D25" s="13" t="str">
        <f>_xlfn.XLOOKUP(Sales_data[[#This Row],[Customer ID]],Customer_master[Customer ID],Customer_master[Region],"Customer Not Found")</f>
        <v>Chattogram</v>
      </c>
      <c r="E25" s="12">
        <v>1</v>
      </c>
      <c r="F25" s="46">
        <v>1272</v>
      </c>
    </row>
    <row r="26" spans="1:19" x14ac:dyDescent="0.3">
      <c r="A26" s="45" t="s">
        <v>53</v>
      </c>
      <c r="B26" s="12" t="s">
        <v>54</v>
      </c>
      <c r="C26" s="13" t="str">
        <f>_xlfn.XLOOKUP(Sales_data[[#This Row],[Customer ID]],Customer_master[Customer ID],Customer_master[Customer Name],"Customer Not Found")</f>
        <v>Jui</v>
      </c>
      <c r="D26" s="13" t="str">
        <f>_xlfn.XLOOKUP(Sales_data[[#This Row],[Customer ID]],Customer_master[Customer ID],Customer_master[Region],"Customer Not Found")</f>
        <v>Sylhet</v>
      </c>
      <c r="E26" s="12">
        <v>8</v>
      </c>
      <c r="F26" s="46">
        <v>1701</v>
      </c>
    </row>
    <row r="27" spans="1:19" x14ac:dyDescent="0.3">
      <c r="A27" s="45" t="s">
        <v>55</v>
      </c>
      <c r="B27" s="12" t="s">
        <v>19</v>
      </c>
      <c r="C27" s="13" t="str">
        <f>_xlfn.XLOOKUP(Sales_data[[#This Row],[Customer ID]],Customer_master[Customer ID],Customer_master[Customer Name],"Customer Not Found")</f>
        <v>Rifat</v>
      </c>
      <c r="D27" s="13" t="str">
        <f>_xlfn.XLOOKUP(Sales_data[[#This Row],[Customer ID]],Customer_master[Customer ID],Customer_master[Region],"Customer Not Found")</f>
        <v>Khulna</v>
      </c>
      <c r="E27" s="12">
        <v>18</v>
      </c>
      <c r="F27" s="46">
        <v>3995</v>
      </c>
    </row>
    <row r="28" spans="1:19" x14ac:dyDescent="0.3">
      <c r="A28" s="45" t="s">
        <v>56</v>
      </c>
      <c r="B28" s="12" t="s">
        <v>57</v>
      </c>
      <c r="C28" s="13" t="str">
        <f>_xlfn.XLOOKUP(Sales_data[[#This Row],[Customer ID]],Customer_master[Customer ID],Customer_master[Customer Name],"Customer Not Found")</f>
        <v>Tania</v>
      </c>
      <c r="D28" s="13" t="str">
        <f>_xlfn.XLOOKUP(Sales_data[[#This Row],[Customer ID]],Customer_master[Customer ID],Customer_master[Region],"Customer Not Found")</f>
        <v>Khulna</v>
      </c>
      <c r="E28" s="12">
        <v>11</v>
      </c>
      <c r="F28" s="46">
        <v>3953</v>
      </c>
    </row>
    <row r="29" spans="1:19" x14ac:dyDescent="0.3">
      <c r="A29" s="45" t="s">
        <v>58</v>
      </c>
      <c r="B29" s="12" t="s">
        <v>59</v>
      </c>
      <c r="C29" s="13" t="str">
        <f>_xlfn.XLOOKUP(Sales_data[[#This Row],[Customer ID]],Customer_master[Customer ID],Customer_master[Customer Name],"Customer Not Found")</f>
        <v>Nadia</v>
      </c>
      <c r="D29" s="13" t="str">
        <f>_xlfn.XLOOKUP(Sales_data[[#This Row],[Customer ID]],Customer_master[Customer ID],Customer_master[Region],"Customer Not Found")</f>
        <v>Dhaka</v>
      </c>
      <c r="E29" s="12">
        <v>19</v>
      </c>
      <c r="F29" s="46">
        <v>2773</v>
      </c>
    </row>
    <row r="30" spans="1:19" x14ac:dyDescent="0.3">
      <c r="A30" s="45" t="s">
        <v>60</v>
      </c>
      <c r="B30" s="12" t="s">
        <v>61</v>
      </c>
      <c r="C30" s="13" t="str">
        <f>_xlfn.XLOOKUP(Sales_data[[#This Row],[Customer ID]],Customer_master[Customer ID],Customer_master[Customer Name],"Customer Not Found")</f>
        <v>Nadia</v>
      </c>
      <c r="D30" s="13" t="str">
        <f>_xlfn.XLOOKUP(Sales_data[[#This Row],[Customer ID]],Customer_master[Customer ID],Customer_master[Region],"Customer Not Found")</f>
        <v>Chattogram</v>
      </c>
      <c r="E30" s="12">
        <v>14</v>
      </c>
      <c r="F30" s="46">
        <v>3598</v>
      </c>
    </row>
    <row r="31" spans="1:19" x14ac:dyDescent="0.3">
      <c r="A31" s="45" t="s">
        <v>62</v>
      </c>
      <c r="B31" s="12" t="s">
        <v>51</v>
      </c>
      <c r="C31" s="13" t="str">
        <f>_xlfn.XLOOKUP(Sales_data[[#This Row],[Customer ID]],Customer_master[Customer ID],Customer_master[Customer Name],"Customer Not Found")</f>
        <v>Sadia</v>
      </c>
      <c r="D31" s="13" t="str">
        <f>_xlfn.XLOOKUP(Sales_data[[#This Row],[Customer ID]],Customer_master[Customer ID],Customer_master[Region],"Customer Not Found")</f>
        <v>Khulna</v>
      </c>
      <c r="E31" s="12">
        <v>14</v>
      </c>
      <c r="F31" s="46">
        <v>2562</v>
      </c>
    </row>
    <row r="32" spans="1:19" x14ac:dyDescent="0.3">
      <c r="A32" s="45" t="s">
        <v>63</v>
      </c>
      <c r="B32" s="12" t="s">
        <v>28</v>
      </c>
      <c r="C32" s="13" t="str">
        <f>_xlfn.XLOOKUP(Sales_data[[#This Row],[Customer ID]],Customer_master[Customer ID],Customer_master[Customer Name],"Customer Not Found")</f>
        <v>Nabila</v>
      </c>
      <c r="D32" s="13" t="str">
        <f>_xlfn.XLOOKUP(Sales_data[[#This Row],[Customer ID]],Customer_master[Customer ID],Customer_master[Region],"Customer Not Found")</f>
        <v>Sylhet</v>
      </c>
      <c r="E32" s="12">
        <v>16</v>
      </c>
      <c r="F32" s="46">
        <v>1457</v>
      </c>
    </row>
    <row r="33" spans="1:6" x14ac:dyDescent="0.3">
      <c r="A33" s="45" t="s">
        <v>64</v>
      </c>
      <c r="B33" s="12" t="s">
        <v>65</v>
      </c>
      <c r="C33" s="13" t="str">
        <f>_xlfn.XLOOKUP(Sales_data[[#This Row],[Customer ID]],Customer_master[Customer ID],Customer_master[Customer Name],"Customer Not Found")</f>
        <v>Rifat</v>
      </c>
      <c r="D33" s="13" t="str">
        <f>_xlfn.XLOOKUP(Sales_data[[#This Row],[Customer ID]],Customer_master[Customer ID],Customer_master[Region],"Customer Not Found")</f>
        <v>Dhaka</v>
      </c>
      <c r="E33" s="12">
        <v>11</v>
      </c>
      <c r="F33" s="46">
        <v>868</v>
      </c>
    </row>
    <row r="34" spans="1:6" x14ac:dyDescent="0.3">
      <c r="A34" s="45" t="s">
        <v>66</v>
      </c>
      <c r="B34" s="12" t="s">
        <v>35</v>
      </c>
      <c r="C34" s="13" t="str">
        <f>_xlfn.XLOOKUP(Sales_data[[#This Row],[Customer ID]],Customer_master[Customer ID],Customer_master[Customer Name],"Customer Not Found")</f>
        <v>Rahim</v>
      </c>
      <c r="D34" s="13" t="str">
        <f>_xlfn.XLOOKUP(Sales_data[[#This Row],[Customer ID]],Customer_master[Customer ID],Customer_master[Region],"Customer Not Found")</f>
        <v>Khulna</v>
      </c>
      <c r="E34" s="12">
        <v>8</v>
      </c>
      <c r="F34" s="46">
        <v>854</v>
      </c>
    </row>
    <row r="35" spans="1:6" x14ac:dyDescent="0.3">
      <c r="A35" s="45" t="s">
        <v>67</v>
      </c>
      <c r="B35" s="12" t="s">
        <v>28</v>
      </c>
      <c r="C35" s="13" t="str">
        <f>_xlfn.XLOOKUP(Sales_data[[#This Row],[Customer ID]],Customer_master[Customer ID],Customer_master[Customer Name],"Customer Not Found")</f>
        <v>Nabila</v>
      </c>
      <c r="D35" s="13" t="str">
        <f>_xlfn.XLOOKUP(Sales_data[[#This Row],[Customer ID]],Customer_master[Customer ID],Customer_master[Region],"Customer Not Found")</f>
        <v>Sylhet</v>
      </c>
      <c r="E35" s="12">
        <v>9</v>
      </c>
      <c r="F35" s="46">
        <v>675</v>
      </c>
    </row>
    <row r="36" spans="1:6" x14ac:dyDescent="0.3">
      <c r="A36" s="45" t="s">
        <v>68</v>
      </c>
      <c r="B36" s="12" t="s">
        <v>69</v>
      </c>
      <c r="C36" s="13" t="str">
        <f>_xlfn.XLOOKUP(Sales_data[[#This Row],[Customer ID]],Customer_master[Customer ID],Customer_master[Customer Name],"Customer Not Found")</f>
        <v>Tania</v>
      </c>
      <c r="D36" s="13" t="str">
        <f>_xlfn.XLOOKUP(Sales_data[[#This Row],[Customer ID]],Customer_master[Customer ID],Customer_master[Region],"Customer Not Found")</f>
        <v>Chattogram</v>
      </c>
      <c r="E36" s="12">
        <v>10</v>
      </c>
      <c r="F36" s="46">
        <v>1704</v>
      </c>
    </row>
    <row r="37" spans="1:6" x14ac:dyDescent="0.3">
      <c r="A37" s="45" t="s">
        <v>70</v>
      </c>
      <c r="B37" s="12" t="s">
        <v>39</v>
      </c>
      <c r="C37" s="13" t="str">
        <f>_xlfn.XLOOKUP(Sales_data[[#This Row],[Customer ID]],Customer_master[Customer ID],Customer_master[Customer Name],"Customer Not Found")</f>
        <v>Rifat</v>
      </c>
      <c r="D37" s="13" t="str">
        <f>_xlfn.XLOOKUP(Sales_data[[#This Row],[Customer ID]],Customer_master[Customer ID],Customer_master[Region],"Customer Not Found")</f>
        <v>Dhaka</v>
      </c>
      <c r="E37" s="12">
        <v>5</v>
      </c>
      <c r="F37" s="46">
        <v>2330</v>
      </c>
    </row>
    <row r="38" spans="1:6" x14ac:dyDescent="0.3">
      <c r="A38" s="45" t="s">
        <v>71</v>
      </c>
      <c r="B38" s="12" t="s">
        <v>72</v>
      </c>
      <c r="C38" s="13" t="str">
        <f>_xlfn.XLOOKUP(Sales_data[[#This Row],[Customer ID]],Customer_master[Customer ID],Customer_master[Customer Name],"Customer Not Found")</f>
        <v>Rima</v>
      </c>
      <c r="D38" s="13" t="str">
        <f>_xlfn.XLOOKUP(Sales_data[[#This Row],[Customer ID]],Customer_master[Customer ID],Customer_master[Region],"Customer Not Found")</f>
        <v>Sylhet</v>
      </c>
      <c r="E38" s="12">
        <v>20</v>
      </c>
      <c r="F38" s="46">
        <v>2791</v>
      </c>
    </row>
    <row r="39" spans="1:6" x14ac:dyDescent="0.3">
      <c r="A39" s="45" t="s">
        <v>73</v>
      </c>
      <c r="B39" s="12" t="s">
        <v>25</v>
      </c>
      <c r="C39" s="13" t="str">
        <f>_xlfn.XLOOKUP(Sales_data[[#This Row],[Customer ID]],Customer_master[Customer ID],Customer_master[Customer Name],"Customer Not Found")</f>
        <v>Nadia</v>
      </c>
      <c r="D39" s="13" t="str">
        <f>_xlfn.XLOOKUP(Sales_data[[#This Row],[Customer ID]],Customer_master[Customer ID],Customer_master[Region],"Customer Not Found")</f>
        <v>Khulna</v>
      </c>
      <c r="E39" s="12">
        <v>20</v>
      </c>
      <c r="F39" s="46">
        <v>1027</v>
      </c>
    </row>
    <row r="40" spans="1:6" x14ac:dyDescent="0.3">
      <c r="A40" s="45" t="s">
        <v>74</v>
      </c>
      <c r="B40" s="12" t="s">
        <v>30</v>
      </c>
      <c r="C40" s="13" t="str">
        <f>_xlfn.XLOOKUP(Sales_data[[#This Row],[Customer ID]],Customer_master[Customer ID],Customer_master[Customer Name],"Customer Not Found")</f>
        <v>Nadia</v>
      </c>
      <c r="D40" s="13" t="str">
        <f>_xlfn.XLOOKUP(Sales_data[[#This Row],[Customer ID]],Customer_master[Customer ID],Customer_master[Region],"Customer Not Found")</f>
        <v>Chattogram</v>
      </c>
      <c r="E40" s="12">
        <v>19</v>
      </c>
      <c r="F40" s="46">
        <v>3951</v>
      </c>
    </row>
    <row r="41" spans="1:6" x14ac:dyDescent="0.3">
      <c r="A41" s="45" t="s">
        <v>75</v>
      </c>
      <c r="B41" s="12" t="s">
        <v>15</v>
      </c>
      <c r="C41" s="13" t="str">
        <f>_xlfn.XLOOKUP(Sales_data[[#This Row],[Customer ID]],Customer_master[Customer ID],Customer_master[Customer Name],"Customer Not Found")</f>
        <v>Tania</v>
      </c>
      <c r="D41" s="13" t="str">
        <f>_xlfn.XLOOKUP(Sales_data[[#This Row],[Customer ID]],Customer_master[Customer ID],Customer_master[Region],"Customer Not Found")</f>
        <v>Chattogram</v>
      </c>
      <c r="E41" s="12">
        <v>8</v>
      </c>
      <c r="F41" s="46">
        <v>1892</v>
      </c>
    </row>
    <row r="42" spans="1:6" x14ac:dyDescent="0.3">
      <c r="A42" s="45" t="s">
        <v>76</v>
      </c>
      <c r="B42" s="12" t="s">
        <v>77</v>
      </c>
      <c r="C42" s="13" t="str">
        <f>_xlfn.XLOOKUP(Sales_data[[#This Row],[Customer ID]],Customer_master[Customer ID],Customer_master[Customer Name],"Customer Not Found")</f>
        <v>Tania</v>
      </c>
      <c r="D42" s="13" t="str">
        <f>_xlfn.XLOOKUP(Sales_data[[#This Row],[Customer ID]],Customer_master[Customer ID],Customer_master[Region],"Customer Not Found")</f>
        <v>Chattogram</v>
      </c>
      <c r="E42" s="12">
        <v>16</v>
      </c>
      <c r="F42" s="46">
        <v>2392</v>
      </c>
    </row>
    <row r="43" spans="1:6" x14ac:dyDescent="0.3">
      <c r="A43" s="45" t="s">
        <v>78</v>
      </c>
      <c r="B43" s="12" t="s">
        <v>39</v>
      </c>
      <c r="C43" s="13" t="str">
        <f>_xlfn.XLOOKUP(Sales_data[[#This Row],[Customer ID]],Customer_master[Customer ID],Customer_master[Customer Name],"Customer Not Found")</f>
        <v>Rifat</v>
      </c>
      <c r="D43" s="13" t="str">
        <f>_xlfn.XLOOKUP(Sales_data[[#This Row],[Customer ID]],Customer_master[Customer ID],Customer_master[Region],"Customer Not Found")</f>
        <v>Dhaka</v>
      </c>
      <c r="E43" s="12">
        <v>18</v>
      </c>
      <c r="F43" s="46">
        <v>2290</v>
      </c>
    </row>
    <row r="44" spans="1:6" x14ac:dyDescent="0.3">
      <c r="A44" s="45" t="s">
        <v>79</v>
      </c>
      <c r="B44" s="12" t="s">
        <v>59</v>
      </c>
      <c r="C44" s="13" t="str">
        <f>_xlfn.XLOOKUP(Sales_data[[#This Row],[Customer ID]],Customer_master[Customer ID],Customer_master[Customer Name],"Customer Not Found")</f>
        <v>Nadia</v>
      </c>
      <c r="D44" s="13" t="str">
        <f>_xlfn.XLOOKUP(Sales_data[[#This Row],[Customer ID]],Customer_master[Customer ID],Customer_master[Region],"Customer Not Found")</f>
        <v>Dhaka</v>
      </c>
      <c r="E44" s="12">
        <v>10</v>
      </c>
      <c r="F44" s="46">
        <v>3008</v>
      </c>
    </row>
    <row r="45" spans="1:6" x14ac:dyDescent="0.3">
      <c r="A45" s="45" t="s">
        <v>80</v>
      </c>
      <c r="B45" s="12" t="s">
        <v>51</v>
      </c>
      <c r="C45" s="13" t="str">
        <f>_xlfn.XLOOKUP(Sales_data[[#This Row],[Customer ID]],Customer_master[Customer ID],Customer_master[Customer Name],"Customer Not Found")</f>
        <v>Sadia</v>
      </c>
      <c r="D45" s="13" t="str">
        <f>_xlfn.XLOOKUP(Sales_data[[#This Row],[Customer ID]],Customer_master[Customer ID],Customer_master[Region],"Customer Not Found")</f>
        <v>Khulna</v>
      </c>
      <c r="E45" s="12">
        <v>10</v>
      </c>
      <c r="F45" s="46">
        <v>832</v>
      </c>
    </row>
    <row r="46" spans="1:6" x14ac:dyDescent="0.3">
      <c r="A46" s="45" t="s">
        <v>81</v>
      </c>
      <c r="B46" s="12" t="s">
        <v>65</v>
      </c>
      <c r="C46" s="13" t="str">
        <f>_xlfn.XLOOKUP(Sales_data[[#This Row],[Customer ID]],Customer_master[Customer ID],Customer_master[Customer Name],"Customer Not Found")</f>
        <v>Rifat</v>
      </c>
      <c r="D46" s="13" t="str">
        <f>_xlfn.XLOOKUP(Sales_data[[#This Row],[Customer ID]],Customer_master[Customer ID],Customer_master[Region],"Customer Not Found")</f>
        <v>Dhaka</v>
      </c>
      <c r="E46" s="12">
        <v>14</v>
      </c>
      <c r="F46" s="46">
        <v>2021</v>
      </c>
    </row>
    <row r="47" spans="1:6" x14ac:dyDescent="0.3">
      <c r="A47" s="45" t="s">
        <v>82</v>
      </c>
      <c r="B47" s="12" t="s">
        <v>39</v>
      </c>
      <c r="C47" s="13" t="str">
        <f>_xlfn.XLOOKUP(Sales_data[[#This Row],[Customer ID]],Customer_master[Customer ID],Customer_master[Customer Name],"Customer Not Found")</f>
        <v>Rifat</v>
      </c>
      <c r="D47" s="13" t="str">
        <f>_xlfn.XLOOKUP(Sales_data[[#This Row],[Customer ID]],Customer_master[Customer ID],Customer_master[Region],"Customer Not Found")</f>
        <v>Dhaka</v>
      </c>
      <c r="E47" s="12">
        <v>7</v>
      </c>
      <c r="F47" s="46">
        <v>2142</v>
      </c>
    </row>
    <row r="48" spans="1:6" x14ac:dyDescent="0.3">
      <c r="A48" s="45" t="s">
        <v>83</v>
      </c>
      <c r="B48" s="12" t="s">
        <v>39</v>
      </c>
      <c r="C48" s="13" t="str">
        <f>_xlfn.XLOOKUP(Sales_data[[#This Row],[Customer ID]],Customer_master[Customer ID],Customer_master[Customer Name],"Customer Not Found")</f>
        <v>Rifat</v>
      </c>
      <c r="D48" s="13" t="str">
        <f>_xlfn.XLOOKUP(Sales_data[[#This Row],[Customer ID]],Customer_master[Customer ID],Customer_master[Region],"Customer Not Found")</f>
        <v>Dhaka</v>
      </c>
      <c r="E48" s="12">
        <v>10</v>
      </c>
      <c r="F48" s="46">
        <v>2764</v>
      </c>
    </row>
    <row r="49" spans="1:6" x14ac:dyDescent="0.3">
      <c r="A49" s="45" t="s">
        <v>84</v>
      </c>
      <c r="B49" s="12" t="s">
        <v>65</v>
      </c>
      <c r="C49" s="13" t="str">
        <f>_xlfn.XLOOKUP(Sales_data[[#This Row],[Customer ID]],Customer_master[Customer ID],Customer_master[Customer Name],"Customer Not Found")</f>
        <v>Rifat</v>
      </c>
      <c r="D49" s="13" t="str">
        <f>_xlfn.XLOOKUP(Sales_data[[#This Row],[Customer ID]],Customer_master[Customer ID],Customer_master[Region],"Customer Not Found")</f>
        <v>Dhaka</v>
      </c>
      <c r="E49" s="12">
        <v>3</v>
      </c>
      <c r="F49" s="46">
        <v>3913</v>
      </c>
    </row>
    <row r="50" spans="1:6" x14ac:dyDescent="0.3">
      <c r="A50" s="45" t="s">
        <v>85</v>
      </c>
      <c r="B50" s="12" t="s">
        <v>35</v>
      </c>
      <c r="C50" s="13" t="str">
        <f>_xlfn.XLOOKUP(Sales_data[[#This Row],[Customer ID]],Customer_master[Customer ID],Customer_master[Customer Name],"Customer Not Found")</f>
        <v>Rahim</v>
      </c>
      <c r="D50" s="13" t="str">
        <f>_xlfn.XLOOKUP(Sales_data[[#This Row],[Customer ID]],Customer_master[Customer ID],Customer_master[Region],"Customer Not Found")</f>
        <v>Khulna</v>
      </c>
      <c r="E50" s="12">
        <v>15</v>
      </c>
      <c r="F50" s="46">
        <v>840</v>
      </c>
    </row>
    <row r="51" spans="1:6" x14ac:dyDescent="0.3">
      <c r="A51" s="45" t="s">
        <v>86</v>
      </c>
      <c r="B51" s="12" t="s">
        <v>28</v>
      </c>
      <c r="C51" s="13" t="str">
        <f>_xlfn.XLOOKUP(Sales_data[[#This Row],[Customer ID]],Customer_master[Customer ID],Customer_master[Customer Name],"Customer Not Found")</f>
        <v>Nabila</v>
      </c>
      <c r="D51" s="13" t="str">
        <f>_xlfn.XLOOKUP(Sales_data[[#This Row],[Customer ID]],Customer_master[Customer ID],Customer_master[Region],"Customer Not Found")</f>
        <v>Sylhet</v>
      </c>
      <c r="E51" s="12">
        <v>1</v>
      </c>
      <c r="F51" s="46">
        <v>3526</v>
      </c>
    </row>
    <row r="52" spans="1:6" x14ac:dyDescent="0.3">
      <c r="A52" s="45" t="s">
        <v>87</v>
      </c>
      <c r="B52" s="12" t="s">
        <v>28</v>
      </c>
      <c r="C52" s="13" t="str">
        <f>_xlfn.XLOOKUP(Sales_data[[#This Row],[Customer ID]],Customer_master[Customer ID],Customer_master[Customer Name],"Customer Not Found")</f>
        <v>Nabila</v>
      </c>
      <c r="D52" s="13" t="str">
        <f>_xlfn.XLOOKUP(Sales_data[[#This Row],[Customer ID]],Customer_master[Customer ID],Customer_master[Region],"Customer Not Found")</f>
        <v>Sylhet</v>
      </c>
      <c r="E52" s="12">
        <v>9</v>
      </c>
      <c r="F52" s="46">
        <v>3844</v>
      </c>
    </row>
    <row r="53" spans="1:6" x14ac:dyDescent="0.3">
      <c r="A53" s="45" t="s">
        <v>88</v>
      </c>
      <c r="B53" s="12" t="s">
        <v>51</v>
      </c>
      <c r="C53" s="13" t="str">
        <f>_xlfn.XLOOKUP(Sales_data[[#This Row],[Customer ID]],Customer_master[Customer ID],Customer_master[Customer Name],"Customer Not Found")</f>
        <v>Sadia</v>
      </c>
      <c r="D53" s="13" t="str">
        <f>_xlfn.XLOOKUP(Sales_data[[#This Row],[Customer ID]],Customer_master[Customer ID],Customer_master[Region],"Customer Not Found")</f>
        <v>Khulna</v>
      </c>
      <c r="E53" s="12">
        <v>4</v>
      </c>
      <c r="F53" s="46">
        <v>1797</v>
      </c>
    </row>
    <row r="54" spans="1:6" x14ac:dyDescent="0.3">
      <c r="A54" s="45" t="s">
        <v>89</v>
      </c>
      <c r="B54" s="12" t="s">
        <v>69</v>
      </c>
      <c r="C54" s="13" t="str">
        <f>_xlfn.XLOOKUP(Sales_data[[#This Row],[Customer ID]],Customer_master[Customer ID],Customer_master[Customer Name],"Customer Not Found")</f>
        <v>Tania</v>
      </c>
      <c r="D54" s="13" t="str">
        <f>_xlfn.XLOOKUP(Sales_data[[#This Row],[Customer ID]],Customer_master[Customer ID],Customer_master[Region],"Customer Not Found")</f>
        <v>Chattogram</v>
      </c>
      <c r="E54" s="12">
        <v>19</v>
      </c>
      <c r="F54" s="46">
        <v>1326</v>
      </c>
    </row>
    <row r="55" spans="1:6" x14ac:dyDescent="0.3">
      <c r="A55" s="45" t="s">
        <v>90</v>
      </c>
      <c r="B55" s="12" t="s">
        <v>15</v>
      </c>
      <c r="C55" s="13" t="str">
        <f>_xlfn.XLOOKUP(Sales_data[[#This Row],[Customer ID]],Customer_master[Customer ID],Customer_master[Customer Name],"Customer Not Found")</f>
        <v>Tania</v>
      </c>
      <c r="D55" s="13" t="str">
        <f>_xlfn.XLOOKUP(Sales_data[[#This Row],[Customer ID]],Customer_master[Customer ID],Customer_master[Region],"Customer Not Found")</f>
        <v>Chattogram</v>
      </c>
      <c r="E55" s="12">
        <v>18</v>
      </c>
      <c r="F55" s="46">
        <v>1511</v>
      </c>
    </row>
    <row r="56" spans="1:6" x14ac:dyDescent="0.3">
      <c r="A56" s="45" t="s">
        <v>91</v>
      </c>
      <c r="B56" s="12" t="s">
        <v>92</v>
      </c>
      <c r="C56" s="13" t="str">
        <f>_xlfn.XLOOKUP(Sales_data[[#This Row],[Customer ID]],Customer_master[Customer ID],Customer_master[Customer Name],"Customer Not Found")</f>
        <v>Sohan</v>
      </c>
      <c r="D56" s="13" t="str">
        <f>_xlfn.XLOOKUP(Sales_data[[#This Row],[Customer ID]],Customer_master[Customer ID],Customer_master[Region],"Customer Not Found")</f>
        <v>Dhaka</v>
      </c>
      <c r="E56" s="12">
        <v>3</v>
      </c>
      <c r="F56" s="46">
        <v>905</v>
      </c>
    </row>
    <row r="57" spans="1:6" x14ac:dyDescent="0.3">
      <c r="A57" s="45" t="s">
        <v>93</v>
      </c>
      <c r="B57" s="12" t="s">
        <v>69</v>
      </c>
      <c r="C57" s="13" t="str">
        <f>_xlfn.XLOOKUP(Sales_data[[#This Row],[Customer ID]],Customer_master[Customer ID],Customer_master[Customer Name],"Customer Not Found")</f>
        <v>Tania</v>
      </c>
      <c r="D57" s="13" t="str">
        <f>_xlfn.XLOOKUP(Sales_data[[#This Row],[Customer ID]],Customer_master[Customer ID],Customer_master[Region],"Customer Not Found")</f>
        <v>Chattogram</v>
      </c>
      <c r="E57" s="12">
        <v>20</v>
      </c>
      <c r="F57" s="46">
        <v>3854</v>
      </c>
    </row>
    <row r="58" spans="1:6" x14ac:dyDescent="0.3">
      <c r="A58" s="45" t="s">
        <v>94</v>
      </c>
      <c r="B58" s="12" t="s">
        <v>23</v>
      </c>
      <c r="C58" s="13" t="str">
        <f>_xlfn.XLOOKUP(Sales_data[[#This Row],[Customer ID]],Customer_master[Customer ID],Customer_master[Customer Name],"Customer Not Found")</f>
        <v>Sadia</v>
      </c>
      <c r="D58" s="13" t="str">
        <f>_xlfn.XLOOKUP(Sales_data[[#This Row],[Customer ID]],Customer_master[Customer ID],Customer_master[Region],"Customer Not Found")</f>
        <v>Khulna</v>
      </c>
      <c r="E58" s="12">
        <v>10</v>
      </c>
      <c r="F58" s="46">
        <v>1387</v>
      </c>
    </row>
    <row r="59" spans="1:6" x14ac:dyDescent="0.3">
      <c r="A59" s="45" t="s">
        <v>95</v>
      </c>
      <c r="B59" s="12" t="s">
        <v>35</v>
      </c>
      <c r="C59" s="13" t="str">
        <f>_xlfn.XLOOKUP(Sales_data[[#This Row],[Customer ID]],Customer_master[Customer ID],Customer_master[Customer Name],"Customer Not Found")</f>
        <v>Rahim</v>
      </c>
      <c r="D59" s="13" t="str">
        <f>_xlfn.XLOOKUP(Sales_data[[#This Row],[Customer ID]],Customer_master[Customer ID],Customer_master[Region],"Customer Not Found")</f>
        <v>Khulna</v>
      </c>
      <c r="E59" s="12">
        <v>17</v>
      </c>
      <c r="F59" s="46">
        <v>1321</v>
      </c>
    </row>
    <row r="60" spans="1:6" x14ac:dyDescent="0.3">
      <c r="A60" s="45" t="s">
        <v>96</v>
      </c>
      <c r="B60" s="12" t="s">
        <v>92</v>
      </c>
      <c r="C60" s="13" t="str">
        <f>_xlfn.XLOOKUP(Sales_data[[#This Row],[Customer ID]],Customer_master[Customer ID],Customer_master[Customer Name],"Customer Not Found")</f>
        <v>Sohan</v>
      </c>
      <c r="D60" s="13" t="str">
        <f>_xlfn.XLOOKUP(Sales_data[[#This Row],[Customer ID]],Customer_master[Customer ID],Customer_master[Region],"Customer Not Found")</f>
        <v>Dhaka</v>
      </c>
      <c r="E60" s="12">
        <v>14</v>
      </c>
      <c r="F60" s="46">
        <v>1310</v>
      </c>
    </row>
    <row r="61" spans="1:6" x14ac:dyDescent="0.3">
      <c r="A61" s="45" t="s">
        <v>97</v>
      </c>
      <c r="B61" s="12" t="s">
        <v>92</v>
      </c>
      <c r="C61" s="13" t="str">
        <f>_xlfn.XLOOKUP(Sales_data[[#This Row],[Customer ID]],Customer_master[Customer ID],Customer_master[Customer Name],"Customer Not Found")</f>
        <v>Sohan</v>
      </c>
      <c r="D61" s="13" t="str">
        <f>_xlfn.XLOOKUP(Sales_data[[#This Row],[Customer ID]],Customer_master[Customer ID],Customer_master[Region],"Customer Not Found")</f>
        <v>Dhaka</v>
      </c>
      <c r="E61" s="12">
        <v>1</v>
      </c>
      <c r="F61" s="46">
        <v>1218</v>
      </c>
    </row>
    <row r="62" spans="1:6" x14ac:dyDescent="0.3">
      <c r="A62" s="45" t="s">
        <v>98</v>
      </c>
      <c r="B62" s="12" t="s">
        <v>54</v>
      </c>
      <c r="C62" s="13" t="str">
        <f>_xlfn.XLOOKUP(Sales_data[[#This Row],[Customer ID]],Customer_master[Customer ID],Customer_master[Customer Name],"Customer Not Found")</f>
        <v>Jui</v>
      </c>
      <c r="D62" s="13" t="str">
        <f>_xlfn.XLOOKUP(Sales_data[[#This Row],[Customer ID]],Customer_master[Customer ID],Customer_master[Region],"Customer Not Found")</f>
        <v>Sylhet</v>
      </c>
      <c r="E62" s="12">
        <v>9</v>
      </c>
      <c r="F62" s="46">
        <v>2406</v>
      </c>
    </row>
    <row r="63" spans="1:6" x14ac:dyDescent="0.3">
      <c r="A63" s="45" t="s">
        <v>99</v>
      </c>
      <c r="B63" s="12" t="s">
        <v>17</v>
      </c>
      <c r="C63" s="13" t="str">
        <f>_xlfn.XLOOKUP(Sales_data[[#This Row],[Customer ID]],Customer_master[Customer ID],Customer_master[Customer Name],"Customer Not Found")</f>
        <v>Rima</v>
      </c>
      <c r="D63" s="13" t="str">
        <f>_xlfn.XLOOKUP(Sales_data[[#This Row],[Customer ID]],Customer_master[Customer ID],Customer_master[Region],"Customer Not Found")</f>
        <v>Khulna</v>
      </c>
      <c r="E63" s="12">
        <v>17</v>
      </c>
      <c r="F63" s="46">
        <v>1078</v>
      </c>
    </row>
    <row r="64" spans="1:6" x14ac:dyDescent="0.3">
      <c r="A64" s="45" t="s">
        <v>100</v>
      </c>
      <c r="B64" s="12" t="s">
        <v>59</v>
      </c>
      <c r="C64" s="13" t="str">
        <f>_xlfn.XLOOKUP(Sales_data[[#This Row],[Customer ID]],Customer_master[Customer ID],Customer_master[Customer Name],"Customer Not Found")</f>
        <v>Nadia</v>
      </c>
      <c r="D64" s="13" t="str">
        <f>_xlfn.XLOOKUP(Sales_data[[#This Row],[Customer ID]],Customer_master[Customer ID],Customer_master[Region],"Customer Not Found")</f>
        <v>Dhaka</v>
      </c>
      <c r="E64" s="12">
        <v>16</v>
      </c>
      <c r="F64" s="46">
        <v>1426</v>
      </c>
    </row>
    <row r="65" spans="1:6" x14ac:dyDescent="0.3">
      <c r="A65" s="45" t="s">
        <v>101</v>
      </c>
      <c r="B65" s="12" t="s">
        <v>49</v>
      </c>
      <c r="C65" s="13" t="str">
        <f>_xlfn.XLOOKUP(Sales_data[[#This Row],[Customer ID]],Customer_master[Customer ID],Customer_master[Customer Name],"Customer Not Found")</f>
        <v>Nabila</v>
      </c>
      <c r="D65" s="13" t="str">
        <f>_xlfn.XLOOKUP(Sales_data[[#This Row],[Customer ID]],Customer_master[Customer ID],Customer_master[Region],"Customer Not Found")</f>
        <v>Dhaka</v>
      </c>
      <c r="E65" s="12">
        <v>15</v>
      </c>
      <c r="F65" s="46">
        <v>480</v>
      </c>
    </row>
    <row r="66" spans="1:6" x14ac:dyDescent="0.3">
      <c r="A66" s="45" t="s">
        <v>102</v>
      </c>
      <c r="B66" s="12" t="s">
        <v>25</v>
      </c>
      <c r="C66" s="13" t="str">
        <f>_xlfn.XLOOKUP(Sales_data[[#This Row],[Customer ID]],Customer_master[Customer ID],Customer_master[Customer Name],"Customer Not Found")</f>
        <v>Nadia</v>
      </c>
      <c r="D66" s="13" t="str">
        <f>_xlfn.XLOOKUP(Sales_data[[#This Row],[Customer ID]],Customer_master[Customer ID],Customer_master[Region],"Customer Not Found")</f>
        <v>Khulna</v>
      </c>
      <c r="E66" s="12">
        <v>11</v>
      </c>
      <c r="F66" s="46">
        <v>3865</v>
      </c>
    </row>
    <row r="67" spans="1:6" x14ac:dyDescent="0.3">
      <c r="A67" s="45" t="s">
        <v>103</v>
      </c>
      <c r="B67" s="12" t="s">
        <v>65</v>
      </c>
      <c r="C67" s="13" t="str">
        <f>_xlfn.XLOOKUP(Sales_data[[#This Row],[Customer ID]],Customer_master[Customer ID],Customer_master[Customer Name],"Customer Not Found")</f>
        <v>Rifat</v>
      </c>
      <c r="D67" s="13" t="str">
        <f>_xlfn.XLOOKUP(Sales_data[[#This Row],[Customer ID]],Customer_master[Customer ID],Customer_master[Region],"Customer Not Found")</f>
        <v>Dhaka</v>
      </c>
      <c r="E67" s="12">
        <v>18</v>
      </c>
      <c r="F67" s="46">
        <v>575</v>
      </c>
    </row>
    <row r="68" spans="1:6" x14ac:dyDescent="0.3">
      <c r="A68" s="45" t="s">
        <v>104</v>
      </c>
      <c r="B68" s="12" t="s">
        <v>21</v>
      </c>
      <c r="C68" s="13" t="str">
        <f>_xlfn.XLOOKUP(Sales_data[[#This Row],[Customer ID]],Customer_master[Customer ID],Customer_master[Customer Name],"Customer Not Found")</f>
        <v>Nabila</v>
      </c>
      <c r="D68" s="13" t="str">
        <f>_xlfn.XLOOKUP(Sales_data[[#This Row],[Customer ID]],Customer_master[Customer ID],Customer_master[Region],"Customer Not Found")</f>
        <v>Khulna</v>
      </c>
      <c r="E68" s="12">
        <v>8</v>
      </c>
      <c r="F68" s="46">
        <v>2063</v>
      </c>
    </row>
    <row r="69" spans="1:6" x14ac:dyDescent="0.3">
      <c r="A69" s="45" t="s">
        <v>105</v>
      </c>
      <c r="B69" s="12" t="s">
        <v>77</v>
      </c>
      <c r="C69" s="13" t="str">
        <f>_xlfn.XLOOKUP(Sales_data[[#This Row],[Customer ID]],Customer_master[Customer ID],Customer_master[Customer Name],"Customer Not Found")</f>
        <v>Tania</v>
      </c>
      <c r="D69" s="13" t="str">
        <f>_xlfn.XLOOKUP(Sales_data[[#This Row],[Customer ID]],Customer_master[Customer ID],Customer_master[Region],"Customer Not Found")</f>
        <v>Chattogram</v>
      </c>
      <c r="E69" s="12">
        <v>4</v>
      </c>
      <c r="F69" s="46">
        <v>833</v>
      </c>
    </row>
    <row r="70" spans="1:6" x14ac:dyDescent="0.3">
      <c r="A70" s="45" t="s">
        <v>106</v>
      </c>
      <c r="B70" s="12" t="s">
        <v>107</v>
      </c>
      <c r="C70" s="13" t="str">
        <f>_xlfn.XLOOKUP(Sales_data[[#This Row],[Customer ID]],Customer_master[Customer ID],Customer_master[Customer Name],"Customer Not Found")</f>
        <v>Tania</v>
      </c>
      <c r="D70" s="13" t="str">
        <f>_xlfn.XLOOKUP(Sales_data[[#This Row],[Customer ID]],Customer_master[Customer ID],Customer_master[Region],"Customer Not Found")</f>
        <v>Chattogram</v>
      </c>
      <c r="E70" s="12">
        <v>17</v>
      </c>
      <c r="F70" s="46">
        <v>3232</v>
      </c>
    </row>
    <row r="71" spans="1:6" x14ac:dyDescent="0.3">
      <c r="A71" s="45" t="s">
        <v>108</v>
      </c>
      <c r="B71" s="12" t="s">
        <v>17</v>
      </c>
      <c r="C71" s="13" t="str">
        <f>_xlfn.XLOOKUP(Sales_data[[#This Row],[Customer ID]],Customer_master[Customer ID],Customer_master[Customer Name],"Customer Not Found")</f>
        <v>Rima</v>
      </c>
      <c r="D71" s="13" t="str">
        <f>_xlfn.XLOOKUP(Sales_data[[#This Row],[Customer ID]],Customer_master[Customer ID],Customer_master[Region],"Customer Not Found")</f>
        <v>Khulna</v>
      </c>
      <c r="E71" s="12">
        <v>4</v>
      </c>
      <c r="F71" s="46">
        <v>3596</v>
      </c>
    </row>
    <row r="72" spans="1:6" x14ac:dyDescent="0.3">
      <c r="A72" s="45" t="s">
        <v>109</v>
      </c>
      <c r="B72" s="12" t="s">
        <v>15</v>
      </c>
      <c r="C72" s="13" t="str">
        <f>_xlfn.XLOOKUP(Sales_data[[#This Row],[Customer ID]],Customer_master[Customer ID],Customer_master[Customer Name],"Customer Not Found")</f>
        <v>Tania</v>
      </c>
      <c r="D72" s="13" t="str">
        <f>_xlfn.XLOOKUP(Sales_data[[#This Row],[Customer ID]],Customer_master[Customer ID],Customer_master[Region],"Customer Not Found")</f>
        <v>Chattogram</v>
      </c>
      <c r="E72" s="12">
        <v>16</v>
      </c>
      <c r="F72" s="46">
        <v>1623</v>
      </c>
    </row>
    <row r="73" spans="1:6" x14ac:dyDescent="0.3">
      <c r="A73" s="45" t="s">
        <v>110</v>
      </c>
      <c r="B73" s="12" t="s">
        <v>69</v>
      </c>
      <c r="C73" s="13" t="str">
        <f>_xlfn.XLOOKUP(Sales_data[[#This Row],[Customer ID]],Customer_master[Customer ID],Customer_master[Customer Name],"Customer Not Found")</f>
        <v>Tania</v>
      </c>
      <c r="D73" s="13" t="str">
        <f>_xlfn.XLOOKUP(Sales_data[[#This Row],[Customer ID]],Customer_master[Customer ID],Customer_master[Region],"Customer Not Found")</f>
        <v>Chattogram</v>
      </c>
      <c r="E73" s="12">
        <v>16</v>
      </c>
      <c r="F73" s="46">
        <v>1892</v>
      </c>
    </row>
    <row r="74" spans="1:6" x14ac:dyDescent="0.3">
      <c r="A74" s="45" t="s">
        <v>111</v>
      </c>
      <c r="B74" s="12" t="s">
        <v>43</v>
      </c>
      <c r="C74" s="13" t="str">
        <f>_xlfn.XLOOKUP(Sales_data[[#This Row],[Customer ID]],Customer_master[Customer ID],Customer_master[Customer Name],"Customer Not Found")</f>
        <v>Nadia</v>
      </c>
      <c r="D74" s="13" t="str">
        <f>_xlfn.XLOOKUP(Sales_data[[#This Row],[Customer ID]],Customer_master[Customer ID],Customer_master[Region],"Customer Not Found")</f>
        <v>Dhaka</v>
      </c>
      <c r="E74" s="12">
        <v>18</v>
      </c>
      <c r="F74" s="46">
        <v>3163</v>
      </c>
    </row>
    <row r="75" spans="1:6" x14ac:dyDescent="0.3">
      <c r="A75" s="45" t="s">
        <v>112</v>
      </c>
      <c r="B75" s="12" t="s">
        <v>54</v>
      </c>
      <c r="C75" s="13" t="str">
        <f>_xlfn.XLOOKUP(Sales_data[[#This Row],[Customer ID]],Customer_master[Customer ID],Customer_master[Customer Name],"Customer Not Found")</f>
        <v>Jui</v>
      </c>
      <c r="D75" s="13" t="str">
        <f>_xlfn.XLOOKUP(Sales_data[[#This Row],[Customer ID]],Customer_master[Customer ID],Customer_master[Region],"Customer Not Found")</f>
        <v>Sylhet</v>
      </c>
      <c r="E75" s="12">
        <v>8</v>
      </c>
      <c r="F75" s="46">
        <v>1018</v>
      </c>
    </row>
    <row r="76" spans="1:6" x14ac:dyDescent="0.3">
      <c r="A76" s="45" t="s">
        <v>113</v>
      </c>
      <c r="B76" s="12" t="s">
        <v>30</v>
      </c>
      <c r="C76" s="13" t="str">
        <f>_xlfn.XLOOKUP(Sales_data[[#This Row],[Customer ID]],Customer_master[Customer ID],Customer_master[Customer Name],"Customer Not Found")</f>
        <v>Nadia</v>
      </c>
      <c r="D76" s="13" t="str">
        <f>_xlfn.XLOOKUP(Sales_data[[#This Row],[Customer ID]],Customer_master[Customer ID],Customer_master[Region],"Customer Not Found")</f>
        <v>Chattogram</v>
      </c>
      <c r="E76" s="12">
        <v>7</v>
      </c>
      <c r="F76" s="46">
        <v>2361</v>
      </c>
    </row>
    <row r="77" spans="1:6" x14ac:dyDescent="0.3">
      <c r="A77" s="45" t="s">
        <v>114</v>
      </c>
      <c r="B77" s="12" t="s">
        <v>43</v>
      </c>
      <c r="C77" s="13" t="str">
        <f>_xlfn.XLOOKUP(Sales_data[[#This Row],[Customer ID]],Customer_master[Customer ID],Customer_master[Customer Name],"Customer Not Found")</f>
        <v>Nadia</v>
      </c>
      <c r="D77" s="13" t="str">
        <f>_xlfn.XLOOKUP(Sales_data[[#This Row],[Customer ID]],Customer_master[Customer ID],Customer_master[Region],"Customer Not Found")</f>
        <v>Dhaka</v>
      </c>
      <c r="E77" s="12">
        <v>18</v>
      </c>
      <c r="F77" s="46">
        <v>1464</v>
      </c>
    </row>
    <row r="78" spans="1:6" x14ac:dyDescent="0.3">
      <c r="A78" s="45" t="s">
        <v>115</v>
      </c>
      <c r="B78" s="12" t="s">
        <v>54</v>
      </c>
      <c r="C78" s="13" t="str">
        <f>_xlfn.XLOOKUP(Sales_data[[#This Row],[Customer ID]],Customer_master[Customer ID],Customer_master[Customer Name],"Customer Not Found")</f>
        <v>Jui</v>
      </c>
      <c r="D78" s="13" t="str">
        <f>_xlfn.XLOOKUP(Sales_data[[#This Row],[Customer ID]],Customer_master[Customer ID],Customer_master[Region],"Customer Not Found")</f>
        <v>Sylhet</v>
      </c>
      <c r="E78" s="12">
        <v>11</v>
      </c>
      <c r="F78" s="46">
        <v>1225</v>
      </c>
    </row>
    <row r="79" spans="1:6" x14ac:dyDescent="0.3">
      <c r="A79" s="45" t="s">
        <v>116</v>
      </c>
      <c r="B79" s="12" t="s">
        <v>117</v>
      </c>
      <c r="C79" s="13" t="str">
        <f>_xlfn.XLOOKUP(Sales_data[[#This Row],[Customer ID]],Customer_master[Customer ID],Customer_master[Customer Name],"Customer Not Found")</f>
        <v>Tania</v>
      </c>
      <c r="D79" s="13" t="str">
        <f>_xlfn.XLOOKUP(Sales_data[[#This Row],[Customer ID]],Customer_master[Customer ID],Customer_master[Region],"Customer Not Found")</f>
        <v>Chattogram</v>
      </c>
      <c r="E79" s="12">
        <v>9</v>
      </c>
      <c r="F79" s="46">
        <v>2859</v>
      </c>
    </row>
    <row r="80" spans="1:6" x14ac:dyDescent="0.3">
      <c r="A80" s="45" t="s">
        <v>118</v>
      </c>
      <c r="B80" s="12" t="s">
        <v>119</v>
      </c>
      <c r="C80" s="13" t="str">
        <f>_xlfn.XLOOKUP(Sales_data[[#This Row],[Customer ID]],Customer_master[Customer ID],Customer_master[Customer Name],"Customer Not Found")</f>
        <v>Nabila</v>
      </c>
      <c r="D80" s="13" t="str">
        <f>_xlfn.XLOOKUP(Sales_data[[#This Row],[Customer ID]],Customer_master[Customer ID],Customer_master[Region],"Customer Not Found")</f>
        <v>Dhaka</v>
      </c>
      <c r="E80" s="12">
        <v>10</v>
      </c>
      <c r="F80" s="46">
        <v>2779</v>
      </c>
    </row>
    <row r="81" spans="1:6" x14ac:dyDescent="0.3">
      <c r="A81" s="45" t="s">
        <v>120</v>
      </c>
      <c r="B81" s="12" t="s">
        <v>117</v>
      </c>
      <c r="C81" s="13" t="str">
        <f>_xlfn.XLOOKUP(Sales_data[[#This Row],[Customer ID]],Customer_master[Customer ID],Customer_master[Customer Name],"Customer Not Found")</f>
        <v>Tania</v>
      </c>
      <c r="D81" s="13" t="str">
        <f>_xlfn.XLOOKUP(Sales_data[[#This Row],[Customer ID]],Customer_master[Customer ID],Customer_master[Region],"Customer Not Found")</f>
        <v>Chattogram</v>
      </c>
      <c r="E81" s="12">
        <v>5</v>
      </c>
      <c r="F81" s="46">
        <v>1731</v>
      </c>
    </row>
    <row r="82" spans="1:6" x14ac:dyDescent="0.3">
      <c r="A82" s="45" t="s">
        <v>121</v>
      </c>
      <c r="B82" s="12" t="s">
        <v>65</v>
      </c>
      <c r="C82" s="13" t="str">
        <f>_xlfn.XLOOKUP(Sales_data[[#This Row],[Customer ID]],Customer_master[Customer ID],Customer_master[Customer Name],"Customer Not Found")</f>
        <v>Rifat</v>
      </c>
      <c r="D82" s="13" t="str">
        <f>_xlfn.XLOOKUP(Sales_data[[#This Row],[Customer ID]],Customer_master[Customer ID],Customer_master[Region],"Customer Not Found")</f>
        <v>Dhaka</v>
      </c>
      <c r="E82" s="12">
        <v>12</v>
      </c>
      <c r="F82" s="46">
        <v>2561</v>
      </c>
    </row>
    <row r="83" spans="1:6" x14ac:dyDescent="0.3">
      <c r="A83" s="45" t="s">
        <v>122</v>
      </c>
      <c r="B83" s="12" t="s">
        <v>43</v>
      </c>
      <c r="C83" s="13" t="str">
        <f>_xlfn.XLOOKUP(Sales_data[[#This Row],[Customer ID]],Customer_master[Customer ID],Customer_master[Customer Name],"Customer Not Found")</f>
        <v>Nadia</v>
      </c>
      <c r="D83" s="13" t="str">
        <f>_xlfn.XLOOKUP(Sales_data[[#This Row],[Customer ID]],Customer_master[Customer ID],Customer_master[Region],"Customer Not Found")</f>
        <v>Dhaka</v>
      </c>
      <c r="E83" s="12">
        <v>14</v>
      </c>
      <c r="F83" s="46">
        <v>3612</v>
      </c>
    </row>
    <row r="84" spans="1:6" x14ac:dyDescent="0.3">
      <c r="A84" s="45" t="s">
        <v>123</v>
      </c>
      <c r="B84" s="12" t="s">
        <v>39</v>
      </c>
      <c r="C84" s="13" t="str">
        <f>_xlfn.XLOOKUP(Sales_data[[#This Row],[Customer ID]],Customer_master[Customer ID],Customer_master[Customer Name],"Customer Not Found")</f>
        <v>Rifat</v>
      </c>
      <c r="D84" s="13" t="str">
        <f>_xlfn.XLOOKUP(Sales_data[[#This Row],[Customer ID]],Customer_master[Customer ID],Customer_master[Region],"Customer Not Found")</f>
        <v>Dhaka</v>
      </c>
      <c r="E84" s="12">
        <v>12</v>
      </c>
      <c r="F84" s="46">
        <v>803</v>
      </c>
    </row>
    <row r="85" spans="1:6" x14ac:dyDescent="0.3">
      <c r="A85" s="45" t="s">
        <v>124</v>
      </c>
      <c r="B85" s="12" t="s">
        <v>119</v>
      </c>
      <c r="C85" s="13" t="str">
        <f>_xlfn.XLOOKUP(Sales_data[[#This Row],[Customer ID]],Customer_master[Customer ID],Customer_master[Customer Name],"Customer Not Found")</f>
        <v>Nabila</v>
      </c>
      <c r="D85" s="13" t="str">
        <f>_xlfn.XLOOKUP(Sales_data[[#This Row],[Customer ID]],Customer_master[Customer ID],Customer_master[Region],"Customer Not Found")</f>
        <v>Dhaka</v>
      </c>
      <c r="E85" s="12">
        <v>8</v>
      </c>
      <c r="F85" s="46">
        <v>922</v>
      </c>
    </row>
    <row r="86" spans="1:6" x14ac:dyDescent="0.3">
      <c r="A86" s="45" t="s">
        <v>125</v>
      </c>
      <c r="B86" s="12" t="s">
        <v>23</v>
      </c>
      <c r="C86" s="13" t="str">
        <f>_xlfn.XLOOKUP(Sales_data[[#This Row],[Customer ID]],Customer_master[Customer ID],Customer_master[Customer Name],"Customer Not Found")</f>
        <v>Sadia</v>
      </c>
      <c r="D86" s="13" t="str">
        <f>_xlfn.XLOOKUP(Sales_data[[#This Row],[Customer ID]],Customer_master[Customer ID],Customer_master[Region],"Customer Not Found")</f>
        <v>Khulna</v>
      </c>
      <c r="E86" s="12">
        <v>13</v>
      </c>
      <c r="F86" s="46">
        <v>2039</v>
      </c>
    </row>
    <row r="87" spans="1:6" x14ac:dyDescent="0.3">
      <c r="A87" s="45" t="s">
        <v>126</v>
      </c>
      <c r="B87" s="12" t="s">
        <v>107</v>
      </c>
      <c r="C87" s="13" t="str">
        <f>_xlfn.XLOOKUP(Sales_data[[#This Row],[Customer ID]],Customer_master[Customer ID],Customer_master[Customer Name],"Customer Not Found")</f>
        <v>Tania</v>
      </c>
      <c r="D87" s="13" t="str">
        <f>_xlfn.XLOOKUP(Sales_data[[#This Row],[Customer ID]],Customer_master[Customer ID],Customer_master[Region],"Customer Not Found")</f>
        <v>Chattogram</v>
      </c>
      <c r="E87" s="12">
        <v>7</v>
      </c>
      <c r="F87" s="46">
        <v>2349</v>
      </c>
    </row>
    <row r="88" spans="1:6" x14ac:dyDescent="0.3">
      <c r="A88" s="45" t="s">
        <v>127</v>
      </c>
      <c r="B88" s="12" t="s">
        <v>61</v>
      </c>
      <c r="C88" s="13" t="str">
        <f>_xlfn.XLOOKUP(Sales_data[[#This Row],[Customer ID]],Customer_master[Customer ID],Customer_master[Customer Name],"Customer Not Found")</f>
        <v>Nadia</v>
      </c>
      <c r="D88" s="13" t="str">
        <f>_xlfn.XLOOKUP(Sales_data[[#This Row],[Customer ID]],Customer_master[Customer ID],Customer_master[Region],"Customer Not Found")</f>
        <v>Chattogram</v>
      </c>
      <c r="E88" s="12">
        <v>20</v>
      </c>
      <c r="F88" s="46">
        <v>2889</v>
      </c>
    </row>
    <row r="89" spans="1:6" x14ac:dyDescent="0.3">
      <c r="A89" s="45" t="s">
        <v>128</v>
      </c>
      <c r="B89" s="12" t="s">
        <v>30</v>
      </c>
      <c r="C89" s="13" t="str">
        <f>_xlfn.XLOOKUP(Sales_data[[#This Row],[Customer ID]],Customer_master[Customer ID],Customer_master[Customer Name],"Customer Not Found")</f>
        <v>Nadia</v>
      </c>
      <c r="D89" s="13" t="str">
        <f>_xlfn.XLOOKUP(Sales_data[[#This Row],[Customer ID]],Customer_master[Customer ID],Customer_master[Region],"Customer Not Found")</f>
        <v>Chattogram</v>
      </c>
      <c r="E89" s="12">
        <v>1</v>
      </c>
      <c r="F89" s="46">
        <v>1486</v>
      </c>
    </row>
    <row r="90" spans="1:6" x14ac:dyDescent="0.3">
      <c r="A90" s="45" t="s">
        <v>129</v>
      </c>
      <c r="B90" s="12" t="s">
        <v>15</v>
      </c>
      <c r="C90" s="13" t="str">
        <f>_xlfn.XLOOKUP(Sales_data[[#This Row],[Customer ID]],Customer_master[Customer ID],Customer_master[Customer Name],"Customer Not Found")</f>
        <v>Tania</v>
      </c>
      <c r="D90" s="13" t="str">
        <f>_xlfn.XLOOKUP(Sales_data[[#This Row],[Customer ID]],Customer_master[Customer ID],Customer_master[Region],"Customer Not Found")</f>
        <v>Chattogram</v>
      </c>
      <c r="E90" s="12">
        <v>1</v>
      </c>
      <c r="F90" s="46">
        <v>2558</v>
      </c>
    </row>
    <row r="91" spans="1:6" x14ac:dyDescent="0.3">
      <c r="A91" s="45" t="s">
        <v>130</v>
      </c>
      <c r="B91" s="12" t="s">
        <v>131</v>
      </c>
      <c r="C91" s="13" t="str">
        <f>_xlfn.XLOOKUP(Sales_data[[#This Row],[Customer ID]],Customer_master[Customer ID],Customer_master[Customer Name],"Customer Not Found")</f>
        <v>Rahim</v>
      </c>
      <c r="D91" s="13" t="str">
        <f>_xlfn.XLOOKUP(Sales_data[[#This Row],[Customer ID]],Customer_master[Customer ID],Customer_master[Region],"Customer Not Found")</f>
        <v>Khulna</v>
      </c>
      <c r="E91" s="12">
        <v>8</v>
      </c>
      <c r="F91" s="46">
        <v>2337</v>
      </c>
    </row>
    <row r="92" spans="1:6" x14ac:dyDescent="0.3">
      <c r="A92" s="45" t="s">
        <v>132</v>
      </c>
      <c r="B92" s="12" t="s">
        <v>59</v>
      </c>
      <c r="C92" s="13" t="str">
        <f>_xlfn.XLOOKUP(Sales_data[[#This Row],[Customer ID]],Customer_master[Customer ID],Customer_master[Customer Name],"Customer Not Found")</f>
        <v>Nadia</v>
      </c>
      <c r="D92" s="13" t="str">
        <f>_xlfn.XLOOKUP(Sales_data[[#This Row],[Customer ID]],Customer_master[Customer ID],Customer_master[Region],"Customer Not Found")</f>
        <v>Dhaka</v>
      </c>
      <c r="E92" s="12">
        <v>19</v>
      </c>
      <c r="F92" s="46">
        <v>2687</v>
      </c>
    </row>
    <row r="93" spans="1:6" x14ac:dyDescent="0.3">
      <c r="A93" s="45" t="s">
        <v>133</v>
      </c>
      <c r="B93" s="12" t="s">
        <v>131</v>
      </c>
      <c r="C93" s="13" t="str">
        <f>_xlfn.XLOOKUP(Sales_data[[#This Row],[Customer ID]],Customer_master[Customer ID],Customer_master[Customer Name],"Customer Not Found")</f>
        <v>Rahim</v>
      </c>
      <c r="D93" s="13" t="str">
        <f>_xlfn.XLOOKUP(Sales_data[[#This Row],[Customer ID]],Customer_master[Customer ID],Customer_master[Region],"Customer Not Found")</f>
        <v>Khulna</v>
      </c>
      <c r="E93" s="12">
        <v>17</v>
      </c>
      <c r="F93" s="46">
        <v>3137</v>
      </c>
    </row>
    <row r="94" spans="1:6" x14ac:dyDescent="0.3">
      <c r="A94" s="45" t="s">
        <v>134</v>
      </c>
      <c r="B94" s="12" t="s">
        <v>46</v>
      </c>
      <c r="C94" s="13" t="str">
        <f>_xlfn.XLOOKUP(Sales_data[[#This Row],[Customer ID]],Customer_master[Customer ID],Customer_master[Customer Name],"Customer Not Found")</f>
        <v>Rifat</v>
      </c>
      <c r="D94" s="13" t="str">
        <f>_xlfn.XLOOKUP(Sales_data[[#This Row],[Customer ID]],Customer_master[Customer ID],Customer_master[Region],"Customer Not Found")</f>
        <v>Chattogram</v>
      </c>
      <c r="E94" s="12">
        <v>8</v>
      </c>
      <c r="F94" s="46">
        <v>1763</v>
      </c>
    </row>
    <row r="95" spans="1:6" x14ac:dyDescent="0.3">
      <c r="A95" s="45" t="s">
        <v>135</v>
      </c>
      <c r="B95" s="12" t="s">
        <v>49</v>
      </c>
      <c r="C95" s="13" t="str">
        <f>_xlfn.XLOOKUP(Sales_data[[#This Row],[Customer ID]],Customer_master[Customer ID],Customer_master[Customer Name],"Customer Not Found")</f>
        <v>Nabila</v>
      </c>
      <c r="D95" s="13" t="str">
        <f>_xlfn.XLOOKUP(Sales_data[[#This Row],[Customer ID]],Customer_master[Customer ID],Customer_master[Region],"Customer Not Found")</f>
        <v>Dhaka</v>
      </c>
      <c r="E95" s="12">
        <v>14</v>
      </c>
      <c r="F95" s="46">
        <v>2485</v>
      </c>
    </row>
    <row r="96" spans="1:6" x14ac:dyDescent="0.3">
      <c r="A96" s="45" t="s">
        <v>136</v>
      </c>
      <c r="B96" s="12" t="s">
        <v>28</v>
      </c>
      <c r="C96" s="13" t="str">
        <f>_xlfn.XLOOKUP(Sales_data[[#This Row],[Customer ID]],Customer_master[Customer ID],Customer_master[Customer Name],"Customer Not Found")</f>
        <v>Nabila</v>
      </c>
      <c r="D96" s="13" t="str">
        <f>_xlfn.XLOOKUP(Sales_data[[#This Row],[Customer ID]],Customer_master[Customer ID],Customer_master[Region],"Customer Not Found")</f>
        <v>Sylhet</v>
      </c>
      <c r="E96" s="12">
        <v>1</v>
      </c>
      <c r="F96" s="46">
        <v>1599</v>
      </c>
    </row>
    <row r="97" spans="1:6" x14ac:dyDescent="0.3">
      <c r="A97" s="45" t="s">
        <v>137</v>
      </c>
      <c r="B97" s="12" t="s">
        <v>49</v>
      </c>
      <c r="C97" s="13" t="str">
        <f>_xlfn.XLOOKUP(Sales_data[[#This Row],[Customer ID]],Customer_master[Customer ID],Customer_master[Customer Name],"Customer Not Found")</f>
        <v>Nabila</v>
      </c>
      <c r="D97" s="13" t="str">
        <f>_xlfn.XLOOKUP(Sales_data[[#This Row],[Customer ID]],Customer_master[Customer ID],Customer_master[Region],"Customer Not Found")</f>
        <v>Dhaka</v>
      </c>
      <c r="E97" s="12">
        <v>9</v>
      </c>
      <c r="F97" s="46">
        <v>1217</v>
      </c>
    </row>
    <row r="98" spans="1:6" x14ac:dyDescent="0.3">
      <c r="A98" s="45" t="s">
        <v>138</v>
      </c>
      <c r="B98" s="12" t="s">
        <v>107</v>
      </c>
      <c r="C98" s="13" t="str">
        <f>_xlfn.XLOOKUP(Sales_data[[#This Row],[Customer ID]],Customer_master[Customer ID],Customer_master[Customer Name],"Customer Not Found")</f>
        <v>Tania</v>
      </c>
      <c r="D98" s="13" t="str">
        <f>_xlfn.XLOOKUP(Sales_data[[#This Row],[Customer ID]],Customer_master[Customer ID],Customer_master[Region],"Customer Not Found")</f>
        <v>Chattogram</v>
      </c>
      <c r="E98" s="12">
        <v>12</v>
      </c>
      <c r="F98" s="46">
        <v>3594</v>
      </c>
    </row>
    <row r="99" spans="1:6" x14ac:dyDescent="0.3">
      <c r="A99" s="45" t="s">
        <v>139</v>
      </c>
      <c r="B99" s="12" t="s">
        <v>107</v>
      </c>
      <c r="C99" s="13" t="str">
        <f>_xlfn.XLOOKUP(Sales_data[[#This Row],[Customer ID]],Customer_master[Customer ID],Customer_master[Customer Name],"Customer Not Found")</f>
        <v>Tania</v>
      </c>
      <c r="D99" s="13" t="str">
        <f>_xlfn.XLOOKUP(Sales_data[[#This Row],[Customer ID]],Customer_master[Customer ID],Customer_master[Region],"Customer Not Found")</f>
        <v>Chattogram</v>
      </c>
      <c r="E99" s="12">
        <v>4</v>
      </c>
      <c r="F99" s="46">
        <v>1369</v>
      </c>
    </row>
    <row r="100" spans="1:6" x14ac:dyDescent="0.3">
      <c r="A100" s="47" t="s">
        <v>140</v>
      </c>
      <c r="B100" s="48" t="s">
        <v>19</v>
      </c>
      <c r="C100" s="49" t="str">
        <f>_xlfn.XLOOKUP(Sales_data[[#This Row],[Customer ID]],Customer_master[Customer ID],Customer_master[Customer Name],"Customer Not Found")</f>
        <v>Rifat</v>
      </c>
      <c r="D100" s="49" t="str">
        <f>_xlfn.XLOOKUP(Sales_data[[#This Row],[Customer ID]],Customer_master[Customer ID],Customer_master[Region],"Customer Not Found")</f>
        <v>Khulna</v>
      </c>
      <c r="E100" s="48">
        <v>4</v>
      </c>
      <c r="F100" s="50">
        <v>1977</v>
      </c>
    </row>
  </sheetData>
  <mergeCells count="5">
    <mergeCell ref="H2:O10"/>
    <mergeCell ref="J14:S15"/>
    <mergeCell ref="H14:I15"/>
    <mergeCell ref="J18:S19"/>
    <mergeCell ref="H18:I19"/>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workbookViewId="0">
      <selection activeCell="C2" sqref="C2"/>
    </sheetView>
  </sheetViews>
  <sheetFormatPr defaultRowHeight="14.4" x14ac:dyDescent="0.3"/>
  <cols>
    <col min="1" max="1" width="14.109375" bestFit="1" customWidth="1"/>
    <col min="2" max="2" width="17.6640625" bestFit="1" customWidth="1"/>
    <col min="3" max="3" width="11.33203125" bestFit="1" customWidth="1"/>
  </cols>
  <sheetData>
    <row r="1" spans="1:3" x14ac:dyDescent="0.3">
      <c r="A1" s="57" t="s">
        <v>13</v>
      </c>
      <c r="B1" s="58" t="s">
        <v>143</v>
      </c>
      <c r="C1" s="59" t="s">
        <v>1</v>
      </c>
    </row>
    <row r="2" spans="1:3" x14ac:dyDescent="0.3">
      <c r="A2" s="54" t="s">
        <v>72</v>
      </c>
      <c r="B2" s="10" t="s">
        <v>144</v>
      </c>
      <c r="C2" s="55" t="s">
        <v>4</v>
      </c>
    </row>
    <row r="3" spans="1:3" x14ac:dyDescent="0.3">
      <c r="A3" s="54" t="s">
        <v>30</v>
      </c>
      <c r="B3" s="10" t="s">
        <v>145</v>
      </c>
      <c r="C3" s="55" t="s">
        <v>11</v>
      </c>
    </row>
    <row r="4" spans="1:3" x14ac:dyDescent="0.3">
      <c r="A4" s="54" t="s">
        <v>23</v>
      </c>
      <c r="B4" s="10" t="s">
        <v>146</v>
      </c>
      <c r="C4" s="55" t="s">
        <v>9</v>
      </c>
    </row>
    <row r="5" spans="1:3" x14ac:dyDescent="0.3">
      <c r="A5" s="54" t="s">
        <v>17</v>
      </c>
      <c r="B5" s="10" t="s">
        <v>144</v>
      </c>
      <c r="C5" s="55" t="s">
        <v>9</v>
      </c>
    </row>
    <row r="6" spans="1:3" x14ac:dyDescent="0.3">
      <c r="A6" s="54" t="s">
        <v>25</v>
      </c>
      <c r="B6" s="10" t="s">
        <v>145</v>
      </c>
      <c r="C6" s="55" t="s">
        <v>9</v>
      </c>
    </row>
    <row r="7" spans="1:3" x14ac:dyDescent="0.3">
      <c r="A7" s="54" t="s">
        <v>51</v>
      </c>
      <c r="B7" s="10" t="s">
        <v>146</v>
      </c>
      <c r="C7" s="55" t="s">
        <v>9</v>
      </c>
    </row>
    <row r="8" spans="1:3" x14ac:dyDescent="0.3">
      <c r="A8" s="54" t="s">
        <v>35</v>
      </c>
      <c r="B8" s="10" t="s">
        <v>147</v>
      </c>
      <c r="C8" s="55" t="s">
        <v>9</v>
      </c>
    </row>
    <row r="9" spans="1:3" x14ac:dyDescent="0.3">
      <c r="A9" s="54" t="s">
        <v>61</v>
      </c>
      <c r="B9" s="10" t="s">
        <v>145</v>
      </c>
      <c r="C9" s="55" t="s">
        <v>11</v>
      </c>
    </row>
    <row r="10" spans="1:3" x14ac:dyDescent="0.3">
      <c r="A10" s="54" t="s">
        <v>57</v>
      </c>
      <c r="B10" s="10" t="s">
        <v>148</v>
      </c>
      <c r="C10" s="55" t="s">
        <v>9</v>
      </c>
    </row>
    <row r="11" spans="1:3" x14ac:dyDescent="0.3">
      <c r="A11" s="54" t="s">
        <v>141</v>
      </c>
      <c r="B11" s="10" t="s">
        <v>144</v>
      </c>
      <c r="C11" s="55" t="s">
        <v>7</v>
      </c>
    </row>
    <row r="12" spans="1:3" x14ac:dyDescent="0.3">
      <c r="A12" s="54" t="s">
        <v>69</v>
      </c>
      <c r="B12" s="10" t="s">
        <v>148</v>
      </c>
      <c r="C12" s="55" t="s">
        <v>11</v>
      </c>
    </row>
    <row r="13" spans="1:3" x14ac:dyDescent="0.3">
      <c r="A13" s="54" t="s">
        <v>65</v>
      </c>
      <c r="B13" s="10" t="s">
        <v>149</v>
      </c>
      <c r="C13" s="55" t="s">
        <v>7</v>
      </c>
    </row>
    <row r="14" spans="1:3" x14ac:dyDescent="0.3">
      <c r="A14" s="54" t="s">
        <v>54</v>
      </c>
      <c r="B14" s="10" t="s">
        <v>150</v>
      </c>
      <c r="C14" s="55" t="s">
        <v>4</v>
      </c>
    </row>
    <row r="15" spans="1:3" x14ac:dyDescent="0.3">
      <c r="A15" s="54" t="s">
        <v>39</v>
      </c>
      <c r="B15" s="10" t="s">
        <v>149</v>
      </c>
      <c r="C15" s="55" t="s">
        <v>7</v>
      </c>
    </row>
    <row r="16" spans="1:3" x14ac:dyDescent="0.3">
      <c r="A16" s="54" t="s">
        <v>59</v>
      </c>
      <c r="B16" s="10" t="s">
        <v>145</v>
      </c>
      <c r="C16" s="55" t="s">
        <v>7</v>
      </c>
    </row>
    <row r="17" spans="1:3" x14ac:dyDescent="0.3">
      <c r="A17" s="54" t="s">
        <v>107</v>
      </c>
      <c r="B17" s="10" t="s">
        <v>148</v>
      </c>
      <c r="C17" s="55" t="s">
        <v>11</v>
      </c>
    </row>
    <row r="18" spans="1:3" x14ac:dyDescent="0.3">
      <c r="A18" s="54" t="s">
        <v>77</v>
      </c>
      <c r="B18" s="10" t="s">
        <v>148</v>
      </c>
      <c r="C18" s="55" t="s">
        <v>11</v>
      </c>
    </row>
    <row r="19" spans="1:3" x14ac:dyDescent="0.3">
      <c r="A19" s="54" t="s">
        <v>49</v>
      </c>
      <c r="B19" s="10" t="s">
        <v>151</v>
      </c>
      <c r="C19" s="55" t="s">
        <v>7</v>
      </c>
    </row>
    <row r="20" spans="1:3" x14ac:dyDescent="0.3">
      <c r="A20" s="54" t="s">
        <v>92</v>
      </c>
      <c r="B20" s="10" t="s">
        <v>152</v>
      </c>
      <c r="C20" s="55" t="s">
        <v>7</v>
      </c>
    </row>
    <row r="21" spans="1:3" x14ac:dyDescent="0.3">
      <c r="A21" s="54" t="s">
        <v>15</v>
      </c>
      <c r="B21" s="10" t="s">
        <v>148</v>
      </c>
      <c r="C21" s="55" t="s">
        <v>11</v>
      </c>
    </row>
    <row r="22" spans="1:3" x14ac:dyDescent="0.3">
      <c r="A22" s="54" t="s">
        <v>117</v>
      </c>
      <c r="B22" s="10" t="s">
        <v>148</v>
      </c>
      <c r="C22" s="55" t="s">
        <v>11</v>
      </c>
    </row>
    <row r="23" spans="1:3" x14ac:dyDescent="0.3">
      <c r="A23" s="54" t="s">
        <v>21</v>
      </c>
      <c r="B23" s="10" t="s">
        <v>151</v>
      </c>
      <c r="C23" s="55" t="s">
        <v>9</v>
      </c>
    </row>
    <row r="24" spans="1:3" x14ac:dyDescent="0.3">
      <c r="A24" s="54" t="s">
        <v>46</v>
      </c>
      <c r="B24" s="10" t="s">
        <v>149</v>
      </c>
      <c r="C24" s="55" t="s">
        <v>11</v>
      </c>
    </row>
    <row r="25" spans="1:3" x14ac:dyDescent="0.3">
      <c r="A25" s="54" t="s">
        <v>19</v>
      </c>
      <c r="B25" s="10" t="s">
        <v>149</v>
      </c>
      <c r="C25" s="55" t="s">
        <v>9</v>
      </c>
    </row>
    <row r="26" spans="1:3" x14ac:dyDescent="0.3">
      <c r="A26" s="54" t="s">
        <v>33</v>
      </c>
      <c r="B26" s="10" t="s">
        <v>150</v>
      </c>
      <c r="C26" s="55" t="s">
        <v>4</v>
      </c>
    </row>
    <row r="27" spans="1:3" x14ac:dyDescent="0.3">
      <c r="A27" s="54" t="s">
        <v>142</v>
      </c>
      <c r="B27" s="10" t="s">
        <v>147</v>
      </c>
      <c r="C27" s="55" t="s">
        <v>4</v>
      </c>
    </row>
    <row r="28" spans="1:3" x14ac:dyDescent="0.3">
      <c r="A28" s="54" t="s">
        <v>119</v>
      </c>
      <c r="B28" s="10" t="s">
        <v>151</v>
      </c>
      <c r="C28" s="55" t="s">
        <v>7</v>
      </c>
    </row>
    <row r="29" spans="1:3" x14ac:dyDescent="0.3">
      <c r="A29" s="54" t="s">
        <v>43</v>
      </c>
      <c r="B29" s="10" t="s">
        <v>145</v>
      </c>
      <c r="C29" s="55" t="s">
        <v>7</v>
      </c>
    </row>
    <row r="30" spans="1:3" x14ac:dyDescent="0.3">
      <c r="A30" s="54" t="s">
        <v>28</v>
      </c>
      <c r="B30" s="10" t="s">
        <v>151</v>
      </c>
      <c r="C30" s="55" t="s">
        <v>4</v>
      </c>
    </row>
    <row r="31" spans="1:3" x14ac:dyDescent="0.3">
      <c r="A31" s="38" t="s">
        <v>131</v>
      </c>
      <c r="B31" s="56" t="s">
        <v>147</v>
      </c>
      <c r="C31" s="37" t="s">
        <v>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52"/>
  <sheetViews>
    <sheetView workbookViewId="0">
      <selection activeCell="D8" sqref="D8"/>
    </sheetView>
  </sheetViews>
  <sheetFormatPr defaultColWidth="14.44140625" defaultRowHeight="14.4" x14ac:dyDescent="0.3"/>
  <cols>
    <col min="1" max="4" width="19.109375" customWidth="1"/>
  </cols>
  <sheetData>
    <row r="1" spans="1:13" ht="15" thickBot="1" x14ac:dyDescent="0.35"/>
    <row r="2" spans="1:13" ht="15" customHeight="1" x14ac:dyDescent="0.3">
      <c r="A2" s="57" t="s">
        <v>153</v>
      </c>
      <c r="B2" s="58" t="s">
        <v>362</v>
      </c>
      <c r="C2" s="58" t="s">
        <v>184</v>
      </c>
      <c r="D2" s="59" t="s">
        <v>185</v>
      </c>
      <c r="F2" s="113" t="s">
        <v>368</v>
      </c>
      <c r="G2" s="114"/>
      <c r="H2" s="114"/>
      <c r="I2" s="114"/>
      <c r="J2" s="114"/>
      <c r="K2" s="114"/>
      <c r="L2" s="114"/>
      <c r="M2" s="115"/>
    </row>
    <row r="3" spans="1:13" x14ac:dyDescent="0.3">
      <c r="A3" s="54" t="s">
        <v>154</v>
      </c>
      <c r="B3" s="14" t="str">
        <f>_xlfn.XLOOKUP(EmployeeAttendance[[#This Row],[Employee ID]],EmployeeMaster[Employee ID],EmployeeMaster[Employee Name],"Invalid Employee ID")</f>
        <v>Jui</v>
      </c>
      <c r="C3" s="14" t="str">
        <f>_xlfn.XLOOKUP(EmployeeAttendance[[#This Row],[Employee ID]],EmployeeMaster[Employee ID],EmployeeMaster[Department],"Invalid Employee ID")</f>
        <v>Sales</v>
      </c>
      <c r="D3" s="14">
        <f>_xlfn.XLOOKUP(EmployeeAttendance[[#This Row],[Employee ID]],EmployeeMaster[Employee ID],EmployeeMaster[Salary],"Invalid Employee ID",0,-1)</f>
        <v>90000</v>
      </c>
      <c r="F3" s="116"/>
      <c r="G3" s="117"/>
      <c r="H3" s="117"/>
      <c r="I3" s="117"/>
      <c r="J3" s="117"/>
      <c r="K3" s="117"/>
      <c r="L3" s="117"/>
      <c r="M3" s="118"/>
    </row>
    <row r="4" spans="1:13" x14ac:dyDescent="0.3">
      <c r="A4" s="54" t="s">
        <v>155</v>
      </c>
      <c r="B4" s="14" t="str">
        <f>_xlfn.XLOOKUP(EmployeeAttendance[[#This Row],[Employee ID]],EmployeeMaster[Employee ID],EmployeeMaster[Employee Name],"Invalid Employee ID")</f>
        <v>Jui</v>
      </c>
      <c r="C4" s="14" t="str">
        <f>_xlfn.XLOOKUP(EmployeeAttendance[[#This Row],[Employee ID]],EmployeeMaster[Employee ID],EmployeeMaster[Department],"Invalid Employee ID")</f>
        <v>HR</v>
      </c>
      <c r="D4" s="60">
        <f>_xlfn.XLOOKUP(EmployeeAttendance[[#This Row],[Employee ID]],EmployeeMaster[Employee ID],EmployeeMaster[Salary],"Invalid Employee ID",0,-1)</f>
        <v>35826</v>
      </c>
      <c r="F4" s="116"/>
      <c r="G4" s="117"/>
      <c r="H4" s="117"/>
      <c r="I4" s="117"/>
      <c r="J4" s="117"/>
      <c r="K4" s="117"/>
      <c r="L4" s="117"/>
      <c r="M4" s="118"/>
    </row>
    <row r="5" spans="1:13" x14ac:dyDescent="0.3">
      <c r="A5" s="54" t="s">
        <v>156</v>
      </c>
      <c r="B5" s="14" t="str">
        <f>_xlfn.XLOOKUP(EmployeeAttendance[[#This Row],[Employee ID]],EmployeeMaster[Employee ID],EmployeeMaster[Employee Name],"Invalid Employee ID")</f>
        <v>Jui</v>
      </c>
      <c r="C5" s="14" t="str">
        <f>_xlfn.XLOOKUP(EmployeeAttendance[[#This Row],[Employee ID]],EmployeeMaster[Employee ID],EmployeeMaster[Department],"Invalid Employee ID")</f>
        <v>Sales</v>
      </c>
      <c r="D5" s="60">
        <f>_xlfn.XLOOKUP(EmployeeAttendance[[#This Row],[Employee ID]],EmployeeMaster[Employee ID],EmployeeMaster[Salary],"Invalid Employee ID",0,-1)</f>
        <v>48286</v>
      </c>
      <c r="F5" s="116"/>
      <c r="G5" s="117"/>
      <c r="H5" s="117"/>
      <c r="I5" s="117"/>
      <c r="J5" s="117"/>
      <c r="K5" s="117"/>
      <c r="L5" s="117"/>
      <c r="M5" s="118"/>
    </row>
    <row r="6" spans="1:13" x14ac:dyDescent="0.3">
      <c r="A6" s="54" t="s">
        <v>157</v>
      </c>
      <c r="B6" s="14" t="str">
        <f>_xlfn.XLOOKUP(EmployeeAttendance[[#This Row],[Employee ID]],EmployeeMaster[Employee ID],EmployeeMaster[Employee Name],"Invalid Employee ID")</f>
        <v>Karim</v>
      </c>
      <c r="C6" s="14" t="str">
        <f>_xlfn.XLOOKUP(EmployeeAttendance[[#This Row],[Employee ID]],EmployeeMaster[Employee ID],EmployeeMaster[Department],"Invalid Employee ID")</f>
        <v>HR</v>
      </c>
      <c r="D6" s="60">
        <f>_xlfn.XLOOKUP(EmployeeAttendance[[#This Row],[Employee ID]],EmployeeMaster[Employee ID],EmployeeMaster[Salary],"Invalid Employee ID",0,-1)</f>
        <v>70219</v>
      </c>
      <c r="F6" s="116"/>
      <c r="G6" s="117"/>
      <c r="H6" s="117"/>
      <c r="I6" s="117"/>
      <c r="J6" s="117"/>
      <c r="K6" s="117"/>
      <c r="L6" s="117"/>
      <c r="M6" s="118"/>
    </row>
    <row r="7" spans="1:13" x14ac:dyDescent="0.3">
      <c r="A7" s="54" t="s">
        <v>157</v>
      </c>
      <c r="B7" s="14" t="str">
        <f>_xlfn.XLOOKUP(EmployeeAttendance[[#This Row],[Employee ID]],EmployeeMaster[Employee ID],EmployeeMaster[Employee Name],"Invalid Employee ID")</f>
        <v>Karim</v>
      </c>
      <c r="C7" s="14" t="str">
        <f>_xlfn.XLOOKUP(EmployeeAttendance[[#This Row],[Employee ID]],EmployeeMaster[Employee ID],EmployeeMaster[Department],"Invalid Employee ID")</f>
        <v>HR</v>
      </c>
      <c r="D7" s="60">
        <f>_xlfn.XLOOKUP(EmployeeAttendance[[#This Row],[Employee ID]],EmployeeMaster[Employee ID],EmployeeMaster[Salary],"Invalid Employee ID",0,-1)</f>
        <v>70219</v>
      </c>
      <c r="F7" s="116"/>
      <c r="G7" s="117"/>
      <c r="H7" s="117"/>
      <c r="I7" s="117"/>
      <c r="J7" s="117"/>
      <c r="K7" s="117"/>
      <c r="L7" s="117"/>
      <c r="M7" s="118"/>
    </row>
    <row r="8" spans="1:13" x14ac:dyDescent="0.3">
      <c r="A8" s="54" t="s">
        <v>158</v>
      </c>
      <c r="B8" s="14" t="str">
        <f>_xlfn.XLOOKUP(EmployeeAttendance[[#This Row],[Employee ID]],EmployeeMaster[Employee ID],EmployeeMaster[Employee Name],"Invalid Employee ID")</f>
        <v>Karim</v>
      </c>
      <c r="C8" s="14" t="str">
        <f>_xlfn.XLOOKUP(EmployeeAttendance[[#This Row],[Employee ID]],EmployeeMaster[Employee ID],EmployeeMaster[Department],"Invalid Employee ID")</f>
        <v>HR</v>
      </c>
      <c r="D8" s="60">
        <f>_xlfn.XLOOKUP(EmployeeAttendance[[#This Row],[Employee ID]],EmployeeMaster[Employee ID],EmployeeMaster[Salary],"Invalid Employee ID",0,-1)</f>
        <v>78476</v>
      </c>
      <c r="F8" s="116"/>
      <c r="G8" s="117"/>
      <c r="H8" s="117"/>
      <c r="I8" s="117"/>
      <c r="J8" s="117"/>
      <c r="K8" s="117"/>
      <c r="L8" s="117"/>
      <c r="M8" s="118"/>
    </row>
    <row r="9" spans="1:13" x14ac:dyDescent="0.3">
      <c r="A9" s="54" t="s">
        <v>159</v>
      </c>
      <c r="B9" s="14" t="str">
        <f>_xlfn.XLOOKUP(EmployeeAttendance[[#This Row],[Employee ID]],EmployeeMaster[Employee ID],EmployeeMaster[Employee Name],"Invalid Employee ID")</f>
        <v>Sohan</v>
      </c>
      <c r="C9" s="14" t="str">
        <f>_xlfn.XLOOKUP(EmployeeAttendance[[#This Row],[Employee ID]],EmployeeMaster[Employee ID],EmployeeMaster[Department],"Invalid Employee ID")</f>
        <v>IT</v>
      </c>
      <c r="D9" s="60">
        <f>_xlfn.XLOOKUP(EmployeeAttendance[[#This Row],[Employee ID]],EmployeeMaster[Employee ID],EmployeeMaster[Salary],"Invalid Employee ID",0,-1)</f>
        <v>60818</v>
      </c>
      <c r="F9" s="116"/>
      <c r="G9" s="117"/>
      <c r="H9" s="117"/>
      <c r="I9" s="117"/>
      <c r="J9" s="117"/>
      <c r="K9" s="117"/>
      <c r="L9" s="117"/>
      <c r="M9" s="118"/>
    </row>
    <row r="10" spans="1:13" x14ac:dyDescent="0.3">
      <c r="A10" s="54" t="s">
        <v>160</v>
      </c>
      <c r="B10" s="14" t="str">
        <f>_xlfn.XLOOKUP(EmployeeAttendance[[#This Row],[Employee ID]],EmployeeMaster[Employee ID],EmployeeMaster[Employee Name],"Invalid Employee ID")</f>
        <v>Rifat</v>
      </c>
      <c r="C10" s="14" t="str">
        <f>_xlfn.XLOOKUP(EmployeeAttendance[[#This Row],[Employee ID]],EmployeeMaster[Employee ID],EmployeeMaster[Department],"Invalid Employee ID")</f>
        <v>HR</v>
      </c>
      <c r="D10" s="60">
        <f>_xlfn.XLOOKUP(EmployeeAttendance[[#This Row],[Employee ID]],EmployeeMaster[Employee ID],EmployeeMaster[Salary],"Invalid Employee ID",0,-1)</f>
        <v>70000</v>
      </c>
      <c r="F10" s="116"/>
      <c r="G10" s="117"/>
      <c r="H10" s="117"/>
      <c r="I10" s="117"/>
      <c r="J10" s="117"/>
      <c r="K10" s="117"/>
      <c r="L10" s="117"/>
      <c r="M10" s="118"/>
    </row>
    <row r="11" spans="1:13" x14ac:dyDescent="0.3">
      <c r="A11" s="54" t="s">
        <v>161</v>
      </c>
      <c r="B11" s="14" t="str">
        <f>_xlfn.XLOOKUP(EmployeeAttendance[[#This Row],[Employee ID]],EmployeeMaster[Employee ID],EmployeeMaster[Employee Name],"Invalid Employee ID")</f>
        <v>Nadia</v>
      </c>
      <c r="C11" s="14" t="str">
        <f>_xlfn.XLOOKUP(EmployeeAttendance[[#This Row],[Employee ID]],EmployeeMaster[Employee ID],EmployeeMaster[Department],"Invalid Employee ID")</f>
        <v>IT</v>
      </c>
      <c r="D11" s="60">
        <f>_xlfn.XLOOKUP(EmployeeAttendance[[#This Row],[Employee ID]],EmployeeMaster[Employee ID],EmployeeMaster[Salary],"Invalid Employee ID",0,-1)</f>
        <v>72444</v>
      </c>
      <c r="F11" s="116"/>
      <c r="G11" s="117"/>
      <c r="H11" s="117"/>
      <c r="I11" s="117"/>
      <c r="J11" s="117"/>
      <c r="K11" s="117"/>
      <c r="L11" s="117"/>
      <c r="M11" s="118"/>
    </row>
    <row r="12" spans="1:13" x14ac:dyDescent="0.3">
      <c r="A12" s="54" t="s">
        <v>162</v>
      </c>
      <c r="B12" s="14" t="str">
        <f>_xlfn.XLOOKUP(EmployeeAttendance[[#This Row],[Employee ID]],EmployeeMaster[Employee ID],EmployeeMaster[Employee Name],"Invalid Employee ID")</f>
        <v>Sadia</v>
      </c>
      <c r="C12" s="14" t="str">
        <f>_xlfn.XLOOKUP(EmployeeAttendance[[#This Row],[Employee ID]],EmployeeMaster[Employee ID],EmployeeMaster[Department],"Invalid Employee ID")</f>
        <v>Sales</v>
      </c>
      <c r="D12" s="60">
        <f>_xlfn.XLOOKUP(EmployeeAttendance[[#This Row],[Employee ID]],EmployeeMaster[Employee ID],EmployeeMaster[Salary],"Invalid Employee ID",0,-1)</f>
        <v>78976</v>
      </c>
      <c r="F12" s="116"/>
      <c r="G12" s="117"/>
      <c r="H12" s="117"/>
      <c r="I12" s="117"/>
      <c r="J12" s="117"/>
      <c r="K12" s="117"/>
      <c r="L12" s="117"/>
      <c r="M12" s="118"/>
    </row>
    <row r="13" spans="1:13" x14ac:dyDescent="0.3">
      <c r="A13" s="54" t="s">
        <v>163</v>
      </c>
      <c r="B13" s="14" t="str">
        <f>_xlfn.XLOOKUP(EmployeeAttendance[[#This Row],[Employee ID]],EmployeeMaster[Employee ID],EmployeeMaster[Employee Name],"Invalid Employee ID")</f>
        <v>Sadia</v>
      </c>
      <c r="C13" s="14" t="str">
        <f>_xlfn.XLOOKUP(EmployeeAttendance[[#This Row],[Employee ID]],EmployeeMaster[Employee ID],EmployeeMaster[Department],"Invalid Employee ID")</f>
        <v>IT</v>
      </c>
      <c r="D13" s="60">
        <f>_xlfn.XLOOKUP(EmployeeAttendance[[#This Row],[Employee ID]],EmployeeMaster[Employee ID],EmployeeMaster[Salary],"Invalid Employee ID",0,-1)</f>
        <v>57522</v>
      </c>
      <c r="F13" s="116"/>
      <c r="G13" s="117"/>
      <c r="H13" s="117"/>
      <c r="I13" s="117"/>
      <c r="J13" s="117"/>
      <c r="K13" s="117"/>
      <c r="L13" s="117"/>
      <c r="M13" s="118"/>
    </row>
    <row r="14" spans="1:13" x14ac:dyDescent="0.3">
      <c r="A14" s="54" t="s">
        <v>164</v>
      </c>
      <c r="B14" s="14" t="str">
        <f>_xlfn.XLOOKUP(EmployeeAttendance[[#This Row],[Employee ID]],EmployeeMaster[Employee ID],EmployeeMaster[Employee Name],"Invalid Employee ID")</f>
        <v>Rima</v>
      </c>
      <c r="C14" s="14" t="str">
        <f>_xlfn.XLOOKUP(EmployeeAttendance[[#This Row],[Employee ID]],EmployeeMaster[Employee ID],EmployeeMaster[Department],"Invalid Employee ID")</f>
        <v>IT</v>
      </c>
      <c r="D14" s="60">
        <f>_xlfn.XLOOKUP(EmployeeAttendance[[#This Row],[Employee ID]],EmployeeMaster[Employee ID],EmployeeMaster[Salary],"Invalid Employee ID",0,-1)</f>
        <v>32340</v>
      </c>
      <c r="F14" s="116"/>
      <c r="G14" s="117"/>
      <c r="H14" s="117"/>
      <c r="I14" s="117"/>
      <c r="J14" s="117"/>
      <c r="K14" s="117"/>
      <c r="L14" s="117"/>
      <c r="M14" s="118"/>
    </row>
    <row r="15" spans="1:13" ht="15" thickBot="1" x14ac:dyDescent="0.35">
      <c r="A15" s="54" t="s">
        <v>160</v>
      </c>
      <c r="B15" s="14" t="str">
        <f>_xlfn.XLOOKUP(EmployeeAttendance[[#This Row],[Employee ID]],EmployeeMaster[Employee ID],EmployeeMaster[Employee Name],"Invalid Employee ID")</f>
        <v>Rifat</v>
      </c>
      <c r="C15" s="14" t="str">
        <f>_xlfn.XLOOKUP(EmployeeAttendance[[#This Row],[Employee ID]],EmployeeMaster[Employee ID],EmployeeMaster[Department],"Invalid Employee ID")</f>
        <v>HR</v>
      </c>
      <c r="D15" s="60">
        <f>_xlfn.XLOOKUP(EmployeeAttendance[[#This Row],[Employee ID]],EmployeeMaster[Employee ID],EmployeeMaster[Salary],"Invalid Employee ID",0,-1)</f>
        <v>70000</v>
      </c>
      <c r="F15" s="119"/>
      <c r="G15" s="120"/>
      <c r="H15" s="120"/>
      <c r="I15" s="120"/>
      <c r="J15" s="120"/>
      <c r="K15" s="120"/>
      <c r="L15" s="120"/>
      <c r="M15" s="121"/>
    </row>
    <row r="16" spans="1:13" x14ac:dyDescent="0.3">
      <c r="A16" s="54" t="s">
        <v>165</v>
      </c>
      <c r="B16" s="14" t="str">
        <f>_xlfn.XLOOKUP(EmployeeAttendance[[#This Row],[Employee ID]],EmployeeMaster[Employee ID],EmployeeMaster[Employee Name],"Invalid Employee ID")</f>
        <v>Tania</v>
      </c>
      <c r="C16" s="14" t="str">
        <f>_xlfn.XLOOKUP(EmployeeAttendance[[#This Row],[Employee ID]],EmployeeMaster[Employee ID],EmployeeMaster[Department],"Invalid Employee ID")</f>
        <v>HR</v>
      </c>
      <c r="D16" s="60">
        <f>_xlfn.XLOOKUP(EmployeeAttendance[[#This Row],[Employee ID]],EmployeeMaster[Employee ID],EmployeeMaster[Salary],"Invalid Employee ID",0,-1)</f>
        <v>36029</v>
      </c>
    </row>
    <row r="17" spans="1:13" x14ac:dyDescent="0.3">
      <c r="A17" s="54" t="s">
        <v>159</v>
      </c>
      <c r="B17" s="14" t="str">
        <f>_xlfn.XLOOKUP(EmployeeAttendance[[#This Row],[Employee ID]],EmployeeMaster[Employee ID],EmployeeMaster[Employee Name],"Invalid Employee ID")</f>
        <v>Sohan</v>
      </c>
      <c r="C17" s="14" t="str">
        <f>_xlfn.XLOOKUP(EmployeeAttendance[[#This Row],[Employee ID]],EmployeeMaster[Employee ID],EmployeeMaster[Department],"Invalid Employee ID")</f>
        <v>IT</v>
      </c>
      <c r="D17" s="60">
        <f>_xlfn.XLOOKUP(EmployeeAttendance[[#This Row],[Employee ID]],EmployeeMaster[Employee ID],EmployeeMaster[Salary],"Invalid Employee ID",0,-1)</f>
        <v>60818</v>
      </c>
    </row>
    <row r="18" spans="1:13" x14ac:dyDescent="0.3">
      <c r="A18" s="54" t="s">
        <v>166</v>
      </c>
      <c r="B18" s="14" t="str">
        <f>_xlfn.XLOOKUP(EmployeeAttendance[[#This Row],[Employee ID]],EmployeeMaster[Employee ID],EmployeeMaster[Employee Name],"Invalid Employee ID")</f>
        <v>Sadia</v>
      </c>
      <c r="C18" s="14" t="str">
        <f>_xlfn.XLOOKUP(EmployeeAttendance[[#This Row],[Employee ID]],EmployeeMaster[Employee ID],EmployeeMaster[Department],"Invalid Employee ID")</f>
        <v>Sales</v>
      </c>
      <c r="D18" s="60">
        <f>_xlfn.XLOOKUP(EmployeeAttendance[[#This Row],[Employee ID]],EmployeeMaster[Employee ID],EmployeeMaster[Salary],"Invalid Employee ID",0,-1)</f>
        <v>45834</v>
      </c>
    </row>
    <row r="19" spans="1:13" x14ac:dyDescent="0.3">
      <c r="A19" s="54" t="s">
        <v>167</v>
      </c>
      <c r="B19" s="14" t="str">
        <f>_xlfn.XLOOKUP(EmployeeAttendance[[#This Row],[Employee ID]],EmployeeMaster[Employee ID],EmployeeMaster[Employee Name],"Invalid Employee ID")</f>
        <v>Nabila</v>
      </c>
      <c r="C19" s="14" t="str">
        <f>_xlfn.XLOOKUP(EmployeeAttendance[[#This Row],[Employee ID]],EmployeeMaster[Employee ID],EmployeeMaster[Department],"Invalid Employee ID")</f>
        <v>HR</v>
      </c>
      <c r="D19" s="60">
        <f>_xlfn.XLOOKUP(EmployeeAttendance[[#This Row],[Employee ID]],EmployeeMaster[Employee ID],EmployeeMaster[Salary],"Invalid Employee ID",0,-1)</f>
        <v>80000</v>
      </c>
      <c r="F19" s="122" t="s">
        <v>750</v>
      </c>
      <c r="G19" s="122"/>
      <c r="H19" s="122"/>
      <c r="I19" s="122"/>
      <c r="J19" s="122"/>
      <c r="K19" s="122"/>
      <c r="L19" s="122"/>
      <c r="M19" s="122"/>
    </row>
    <row r="20" spans="1:13" x14ac:dyDescent="0.3">
      <c r="A20" s="54" t="s">
        <v>158</v>
      </c>
      <c r="B20" s="14" t="str">
        <f>_xlfn.XLOOKUP(EmployeeAttendance[[#This Row],[Employee ID]],EmployeeMaster[Employee ID],EmployeeMaster[Employee Name],"Invalid Employee ID")</f>
        <v>Karim</v>
      </c>
      <c r="C20" s="14" t="str">
        <f>_xlfn.XLOOKUP(EmployeeAttendance[[#This Row],[Employee ID]],EmployeeMaster[Employee ID],EmployeeMaster[Department],"Invalid Employee ID")</f>
        <v>HR</v>
      </c>
      <c r="D20" s="60">
        <f>_xlfn.XLOOKUP(EmployeeAttendance[[#This Row],[Employee ID]],EmployeeMaster[Employee ID],EmployeeMaster[Salary],"Invalid Employee ID",0,-1)</f>
        <v>78476</v>
      </c>
    </row>
    <row r="21" spans="1:13" x14ac:dyDescent="0.3">
      <c r="A21" s="54" t="s">
        <v>168</v>
      </c>
      <c r="B21" s="14" t="str">
        <f>_xlfn.XLOOKUP(EmployeeAttendance[[#This Row],[Employee ID]],EmployeeMaster[Employee ID],EmployeeMaster[Employee Name],"Invalid Employee ID")</f>
        <v>Tania</v>
      </c>
      <c r="C21" s="14" t="str">
        <f>_xlfn.XLOOKUP(EmployeeAttendance[[#This Row],[Employee ID]],EmployeeMaster[Employee ID],EmployeeMaster[Department],"Invalid Employee ID")</f>
        <v>Sales</v>
      </c>
      <c r="D21" s="60">
        <f>_xlfn.XLOOKUP(EmployeeAttendance[[#This Row],[Employee ID]],EmployeeMaster[Employee ID],EmployeeMaster[Salary],"Invalid Employee ID",0,-1)</f>
        <v>69579</v>
      </c>
      <c r="F21" s="122" t="s">
        <v>751</v>
      </c>
      <c r="G21" s="122"/>
      <c r="H21" s="122"/>
      <c r="I21" s="122"/>
      <c r="J21" s="122"/>
      <c r="K21" s="122"/>
      <c r="L21" s="122"/>
      <c r="M21" s="122"/>
    </row>
    <row r="22" spans="1:13" x14ac:dyDescent="0.3">
      <c r="A22" s="54" t="s">
        <v>169</v>
      </c>
      <c r="B22" s="14" t="str">
        <f>_xlfn.XLOOKUP(EmployeeAttendance[[#This Row],[Employee ID]],EmployeeMaster[Employee ID],EmployeeMaster[Employee Name],"Invalid Employee ID")</f>
        <v>Rima</v>
      </c>
      <c r="C22" s="14" t="str">
        <f>_xlfn.XLOOKUP(EmployeeAttendance[[#This Row],[Employee ID]],EmployeeMaster[Employee ID],EmployeeMaster[Department],"Invalid Employee ID")</f>
        <v>Sales</v>
      </c>
      <c r="D22" s="60">
        <f>_xlfn.XLOOKUP(EmployeeAttendance[[#This Row],[Employee ID]],EmployeeMaster[Employee ID],EmployeeMaster[Salary],"Invalid Employee ID",0,-1)</f>
        <v>31666</v>
      </c>
    </row>
    <row r="23" spans="1:13" x14ac:dyDescent="0.3">
      <c r="A23" s="54" t="s">
        <v>170</v>
      </c>
      <c r="B23" s="14" t="str">
        <f>_xlfn.XLOOKUP(EmployeeAttendance[[#This Row],[Employee ID]],EmployeeMaster[Employee ID],EmployeeMaster[Employee Name],"Invalid Employee ID")</f>
        <v>Tania</v>
      </c>
      <c r="C23" s="14" t="str">
        <f>_xlfn.XLOOKUP(EmployeeAttendance[[#This Row],[Employee ID]],EmployeeMaster[Employee ID],EmployeeMaster[Department],"Invalid Employee ID")</f>
        <v>Sales</v>
      </c>
      <c r="D23" s="60">
        <f>_xlfn.XLOOKUP(EmployeeAttendance[[#This Row],[Employee ID]],EmployeeMaster[Employee ID],EmployeeMaster[Salary],"Invalid Employee ID",0,-1)</f>
        <v>53250</v>
      </c>
      <c r="F23" s="122" t="s">
        <v>752</v>
      </c>
      <c r="G23" s="122"/>
      <c r="H23" s="122"/>
      <c r="I23" s="122"/>
      <c r="J23" s="122"/>
      <c r="K23" s="122"/>
      <c r="L23" s="122"/>
      <c r="M23" s="122"/>
    </row>
    <row r="24" spans="1:13" x14ac:dyDescent="0.3">
      <c r="A24" s="54" t="s">
        <v>161</v>
      </c>
      <c r="B24" s="14" t="str">
        <f>_xlfn.XLOOKUP(EmployeeAttendance[[#This Row],[Employee ID]],EmployeeMaster[Employee ID],EmployeeMaster[Employee Name],"Invalid Employee ID")</f>
        <v>Nadia</v>
      </c>
      <c r="C24" s="14" t="str">
        <f>_xlfn.XLOOKUP(EmployeeAttendance[[#This Row],[Employee ID]],EmployeeMaster[Employee ID],EmployeeMaster[Department],"Invalid Employee ID")</f>
        <v>IT</v>
      </c>
      <c r="D24" s="60">
        <f>_xlfn.XLOOKUP(EmployeeAttendance[[#This Row],[Employee ID]],EmployeeMaster[Employee ID],EmployeeMaster[Salary],"Invalid Employee ID",0,-1)</f>
        <v>72444</v>
      </c>
    </row>
    <row r="25" spans="1:13" x14ac:dyDescent="0.3">
      <c r="A25" s="54" t="s">
        <v>171</v>
      </c>
      <c r="B25" s="14" t="str">
        <f>_xlfn.XLOOKUP(EmployeeAttendance[[#This Row],[Employee ID]],EmployeeMaster[Employee ID],EmployeeMaster[Employee Name],"Invalid Employee ID")</f>
        <v>Tania</v>
      </c>
      <c r="C25" s="14" t="str">
        <f>_xlfn.XLOOKUP(EmployeeAttendance[[#This Row],[Employee ID]],EmployeeMaster[Employee ID],EmployeeMaster[Department],"Invalid Employee ID")</f>
        <v>HR</v>
      </c>
      <c r="D25" s="60">
        <f>_xlfn.XLOOKUP(EmployeeAttendance[[#This Row],[Employee ID]],EmployeeMaster[Employee ID],EmployeeMaster[Salary],"Invalid Employee ID",0,-1)</f>
        <v>42536</v>
      </c>
    </row>
    <row r="26" spans="1:13" x14ac:dyDescent="0.3">
      <c r="A26" s="54" t="s">
        <v>171</v>
      </c>
      <c r="B26" s="14" t="str">
        <f>_xlfn.XLOOKUP(EmployeeAttendance[[#This Row],[Employee ID]],EmployeeMaster[Employee ID],EmployeeMaster[Employee Name],"Invalid Employee ID")</f>
        <v>Tania</v>
      </c>
      <c r="C26" s="14" t="str">
        <f>_xlfn.XLOOKUP(EmployeeAttendance[[#This Row],[Employee ID]],EmployeeMaster[Employee ID],EmployeeMaster[Department],"Invalid Employee ID")</f>
        <v>HR</v>
      </c>
      <c r="D26" s="60">
        <f>_xlfn.XLOOKUP(EmployeeAttendance[[#This Row],[Employee ID]],EmployeeMaster[Employee ID],EmployeeMaster[Salary],"Invalid Employee ID",0,-1)</f>
        <v>42536</v>
      </c>
    </row>
    <row r="27" spans="1:13" x14ac:dyDescent="0.3">
      <c r="A27" s="54" t="s">
        <v>161</v>
      </c>
      <c r="B27" s="14" t="str">
        <f>_xlfn.XLOOKUP(EmployeeAttendance[[#This Row],[Employee ID]],EmployeeMaster[Employee ID],EmployeeMaster[Employee Name],"Invalid Employee ID")</f>
        <v>Nadia</v>
      </c>
      <c r="C27" s="14" t="str">
        <f>_xlfn.XLOOKUP(EmployeeAttendance[[#This Row],[Employee ID]],EmployeeMaster[Employee ID],EmployeeMaster[Department],"Invalid Employee ID")</f>
        <v>IT</v>
      </c>
      <c r="D27" s="60">
        <f>_xlfn.XLOOKUP(EmployeeAttendance[[#This Row],[Employee ID]],EmployeeMaster[Employee ID],EmployeeMaster[Salary],"Invalid Employee ID",0,-1)</f>
        <v>72444</v>
      </c>
    </row>
    <row r="28" spans="1:13" x14ac:dyDescent="0.3">
      <c r="A28" s="54" t="s">
        <v>157</v>
      </c>
      <c r="B28" s="14" t="str">
        <f>_xlfn.XLOOKUP(EmployeeAttendance[[#This Row],[Employee ID]],EmployeeMaster[Employee ID],EmployeeMaster[Employee Name],"Invalid Employee ID")</f>
        <v>Karim</v>
      </c>
      <c r="C28" s="14" t="str">
        <f>_xlfn.XLOOKUP(EmployeeAttendance[[#This Row],[Employee ID]],EmployeeMaster[Employee ID],EmployeeMaster[Department],"Invalid Employee ID")</f>
        <v>HR</v>
      </c>
      <c r="D28" s="60">
        <f>_xlfn.XLOOKUP(EmployeeAttendance[[#This Row],[Employee ID]],EmployeeMaster[Employee ID],EmployeeMaster[Salary],"Invalid Employee ID",0,-1)</f>
        <v>70219</v>
      </c>
    </row>
    <row r="29" spans="1:13" x14ac:dyDescent="0.3">
      <c r="A29" s="54" t="s">
        <v>162</v>
      </c>
      <c r="B29" s="14" t="str">
        <f>_xlfn.XLOOKUP(EmployeeAttendance[[#This Row],[Employee ID]],EmployeeMaster[Employee ID],EmployeeMaster[Employee Name],"Invalid Employee ID")</f>
        <v>Sadia</v>
      </c>
      <c r="C29" s="14" t="str">
        <f>_xlfn.XLOOKUP(EmployeeAttendance[[#This Row],[Employee ID]],EmployeeMaster[Employee ID],EmployeeMaster[Department],"Invalid Employee ID")</f>
        <v>Sales</v>
      </c>
      <c r="D29" s="60">
        <f>_xlfn.XLOOKUP(EmployeeAttendance[[#This Row],[Employee ID]],EmployeeMaster[Employee ID],EmployeeMaster[Salary],"Invalid Employee ID",0,-1)</f>
        <v>78976</v>
      </c>
    </row>
    <row r="30" spans="1:13" x14ac:dyDescent="0.3">
      <c r="A30" s="54" t="s">
        <v>172</v>
      </c>
      <c r="B30" s="14" t="str">
        <f>_xlfn.XLOOKUP(EmployeeAttendance[[#This Row],[Employee ID]],EmployeeMaster[Employee ID],EmployeeMaster[Employee Name],"Invalid Employee ID")</f>
        <v>Rima</v>
      </c>
      <c r="C30" s="14" t="str">
        <f>_xlfn.XLOOKUP(EmployeeAttendance[[#This Row],[Employee ID]],EmployeeMaster[Employee ID],EmployeeMaster[Department],"Invalid Employee ID")</f>
        <v>HR</v>
      </c>
      <c r="D30" s="60">
        <f>_xlfn.XLOOKUP(EmployeeAttendance[[#This Row],[Employee ID]],EmployeeMaster[Employee ID],EmployeeMaster[Salary],"Invalid Employee ID",0,-1)</f>
        <v>84704</v>
      </c>
    </row>
    <row r="31" spans="1:13" x14ac:dyDescent="0.3">
      <c r="A31" s="54" t="s">
        <v>165</v>
      </c>
      <c r="B31" s="14" t="str">
        <f>_xlfn.XLOOKUP(EmployeeAttendance[[#This Row],[Employee ID]],EmployeeMaster[Employee ID],EmployeeMaster[Employee Name],"Invalid Employee ID")</f>
        <v>Tania</v>
      </c>
      <c r="C31" s="14" t="str">
        <f>_xlfn.XLOOKUP(EmployeeAttendance[[#This Row],[Employee ID]],EmployeeMaster[Employee ID],EmployeeMaster[Department],"Invalid Employee ID")</f>
        <v>HR</v>
      </c>
      <c r="D31" s="60">
        <f>_xlfn.XLOOKUP(EmployeeAttendance[[#This Row],[Employee ID]],EmployeeMaster[Employee ID],EmployeeMaster[Salary],"Invalid Employee ID",0,-1)</f>
        <v>36029</v>
      </c>
    </row>
    <row r="32" spans="1:13" x14ac:dyDescent="0.3">
      <c r="A32" s="54" t="s">
        <v>165</v>
      </c>
      <c r="B32" s="14" t="str">
        <f>_xlfn.XLOOKUP(EmployeeAttendance[[#This Row],[Employee ID]],EmployeeMaster[Employee ID],EmployeeMaster[Employee Name],"Invalid Employee ID")</f>
        <v>Tania</v>
      </c>
      <c r="C32" s="14" t="str">
        <f>_xlfn.XLOOKUP(EmployeeAttendance[[#This Row],[Employee ID]],EmployeeMaster[Employee ID],EmployeeMaster[Department],"Invalid Employee ID")</f>
        <v>HR</v>
      </c>
      <c r="D32" s="60">
        <f>_xlfn.XLOOKUP(EmployeeAttendance[[#This Row],[Employee ID]],EmployeeMaster[Employee ID],EmployeeMaster[Salary],"Invalid Employee ID",0,-1)</f>
        <v>36029</v>
      </c>
    </row>
    <row r="33" spans="1:4" x14ac:dyDescent="0.3">
      <c r="A33" s="54" t="s">
        <v>173</v>
      </c>
      <c r="B33" s="14" t="str">
        <f>_xlfn.XLOOKUP(EmployeeAttendance[[#This Row],[Employee ID]],EmployeeMaster[Employee ID],EmployeeMaster[Employee Name],"Invalid Employee ID")</f>
        <v>Karim</v>
      </c>
      <c r="C33" s="14" t="str">
        <f>_xlfn.XLOOKUP(EmployeeAttendance[[#This Row],[Employee ID]],EmployeeMaster[Employee ID],EmployeeMaster[Department],"Invalid Employee ID")</f>
        <v>HR</v>
      </c>
      <c r="D33" s="60">
        <f>_xlfn.XLOOKUP(EmployeeAttendance[[#This Row],[Employee ID]],EmployeeMaster[Employee ID],EmployeeMaster[Salary],"Invalid Employee ID",0,-1)</f>
        <v>86625</v>
      </c>
    </row>
    <row r="34" spans="1:4" x14ac:dyDescent="0.3">
      <c r="A34" s="54" t="s">
        <v>158</v>
      </c>
      <c r="B34" s="14" t="str">
        <f>_xlfn.XLOOKUP(EmployeeAttendance[[#This Row],[Employee ID]],EmployeeMaster[Employee ID],EmployeeMaster[Employee Name],"Invalid Employee ID")</f>
        <v>Karim</v>
      </c>
      <c r="C34" s="14" t="str">
        <f>_xlfn.XLOOKUP(EmployeeAttendance[[#This Row],[Employee ID]],EmployeeMaster[Employee ID],EmployeeMaster[Department],"Invalid Employee ID")</f>
        <v>HR</v>
      </c>
      <c r="D34" s="60">
        <f>_xlfn.XLOOKUP(EmployeeAttendance[[#This Row],[Employee ID]],EmployeeMaster[Employee ID],EmployeeMaster[Salary],"Invalid Employee ID",0,-1)</f>
        <v>78476</v>
      </c>
    </row>
    <row r="35" spans="1:4" x14ac:dyDescent="0.3">
      <c r="A35" s="54" t="s">
        <v>174</v>
      </c>
      <c r="B35" s="14" t="str">
        <f>_xlfn.XLOOKUP(EmployeeAttendance[[#This Row],[Employee ID]],EmployeeMaster[Employee ID],EmployeeMaster[Employee Name],"Invalid Employee ID")</f>
        <v>Rima</v>
      </c>
      <c r="C35" s="14" t="str">
        <f>_xlfn.XLOOKUP(EmployeeAttendance[[#This Row],[Employee ID]],EmployeeMaster[Employee ID],EmployeeMaster[Department],"Invalid Employee ID")</f>
        <v>IT</v>
      </c>
      <c r="D35" s="60">
        <f>_xlfn.XLOOKUP(EmployeeAttendance[[#This Row],[Employee ID]],EmployeeMaster[Employee ID],EmployeeMaster[Salary],"Invalid Employee ID",0,-1)</f>
        <v>45375</v>
      </c>
    </row>
    <row r="36" spans="1:4" x14ac:dyDescent="0.3">
      <c r="A36" s="54" t="s">
        <v>175</v>
      </c>
      <c r="B36" s="14" t="str">
        <f>_xlfn.XLOOKUP(EmployeeAttendance[[#This Row],[Employee ID]],EmployeeMaster[Employee ID],EmployeeMaster[Employee Name],"Invalid Employee ID")</f>
        <v>Rifat</v>
      </c>
      <c r="C36" s="14" t="str">
        <f>_xlfn.XLOOKUP(EmployeeAttendance[[#This Row],[Employee ID]],EmployeeMaster[Employee ID],EmployeeMaster[Department],"Invalid Employee ID")</f>
        <v>Accounts</v>
      </c>
      <c r="D36" s="60">
        <f>_xlfn.XLOOKUP(EmployeeAttendance[[#This Row],[Employee ID]],EmployeeMaster[Employee ID],EmployeeMaster[Salary],"Invalid Employee ID",0,-1)</f>
        <v>79122</v>
      </c>
    </row>
    <row r="37" spans="1:4" x14ac:dyDescent="0.3">
      <c r="A37" s="54" t="s">
        <v>172</v>
      </c>
      <c r="B37" s="14" t="str">
        <f>_xlfn.XLOOKUP(EmployeeAttendance[[#This Row],[Employee ID]],EmployeeMaster[Employee ID],EmployeeMaster[Employee Name],"Invalid Employee ID")</f>
        <v>Rima</v>
      </c>
      <c r="C37" s="14" t="str">
        <f>_xlfn.XLOOKUP(EmployeeAttendance[[#This Row],[Employee ID]],EmployeeMaster[Employee ID],EmployeeMaster[Department],"Invalid Employee ID")</f>
        <v>HR</v>
      </c>
      <c r="D37" s="60">
        <f>_xlfn.XLOOKUP(EmployeeAttendance[[#This Row],[Employee ID]],EmployeeMaster[Employee ID],EmployeeMaster[Salary],"Invalid Employee ID",0,-1)</f>
        <v>84704</v>
      </c>
    </row>
    <row r="38" spans="1:4" x14ac:dyDescent="0.3">
      <c r="A38" s="54" t="s">
        <v>163</v>
      </c>
      <c r="B38" s="14" t="str">
        <f>_xlfn.XLOOKUP(EmployeeAttendance[[#This Row],[Employee ID]],EmployeeMaster[Employee ID],EmployeeMaster[Employee Name],"Invalid Employee ID")</f>
        <v>Sadia</v>
      </c>
      <c r="C38" s="14" t="str">
        <f>_xlfn.XLOOKUP(EmployeeAttendance[[#This Row],[Employee ID]],EmployeeMaster[Employee ID],EmployeeMaster[Department],"Invalid Employee ID")</f>
        <v>IT</v>
      </c>
      <c r="D38" s="60">
        <f>_xlfn.XLOOKUP(EmployeeAttendance[[#This Row],[Employee ID]],EmployeeMaster[Employee ID],EmployeeMaster[Salary],"Invalid Employee ID",0,-1)</f>
        <v>57522</v>
      </c>
    </row>
    <row r="39" spans="1:4" x14ac:dyDescent="0.3">
      <c r="A39" s="54" t="s">
        <v>161</v>
      </c>
      <c r="B39" s="14" t="str">
        <f>_xlfn.XLOOKUP(EmployeeAttendance[[#This Row],[Employee ID]],EmployeeMaster[Employee ID],EmployeeMaster[Employee Name],"Invalid Employee ID")</f>
        <v>Nadia</v>
      </c>
      <c r="C39" s="14" t="str">
        <f>_xlfn.XLOOKUP(EmployeeAttendance[[#This Row],[Employee ID]],EmployeeMaster[Employee ID],EmployeeMaster[Department],"Invalid Employee ID")</f>
        <v>IT</v>
      </c>
      <c r="D39" s="60">
        <f>_xlfn.XLOOKUP(EmployeeAttendance[[#This Row],[Employee ID]],EmployeeMaster[Employee ID],EmployeeMaster[Salary],"Invalid Employee ID",0,-1)</f>
        <v>72444</v>
      </c>
    </row>
    <row r="40" spans="1:4" x14ac:dyDescent="0.3">
      <c r="A40" s="54" t="s">
        <v>176</v>
      </c>
      <c r="B40" s="14" t="str">
        <f>_xlfn.XLOOKUP(EmployeeAttendance[[#This Row],[Employee ID]],EmployeeMaster[Employee ID],EmployeeMaster[Employee Name],"Invalid Employee ID")</f>
        <v>Rifat</v>
      </c>
      <c r="C40" s="14" t="str">
        <f>_xlfn.XLOOKUP(EmployeeAttendance[[#This Row],[Employee ID]],EmployeeMaster[Employee ID],EmployeeMaster[Department],"Invalid Employee ID")</f>
        <v>Accounts</v>
      </c>
      <c r="D40" s="60">
        <f>_xlfn.XLOOKUP(EmployeeAttendance[[#This Row],[Employee ID]],EmployeeMaster[Employee ID],EmployeeMaster[Salary],"Invalid Employee ID",0,-1)</f>
        <v>30083</v>
      </c>
    </row>
    <row r="41" spans="1:4" x14ac:dyDescent="0.3">
      <c r="A41" s="54" t="s">
        <v>162</v>
      </c>
      <c r="B41" s="14" t="str">
        <f>_xlfn.XLOOKUP(EmployeeAttendance[[#This Row],[Employee ID]],EmployeeMaster[Employee ID],EmployeeMaster[Employee Name],"Invalid Employee ID")</f>
        <v>Sadia</v>
      </c>
      <c r="C41" s="14" t="str">
        <f>_xlfn.XLOOKUP(EmployeeAttendance[[#This Row],[Employee ID]],EmployeeMaster[Employee ID],EmployeeMaster[Department],"Invalid Employee ID")</f>
        <v>Sales</v>
      </c>
      <c r="D41" s="60">
        <f>_xlfn.XLOOKUP(EmployeeAttendance[[#This Row],[Employee ID]],EmployeeMaster[Employee ID],EmployeeMaster[Salary],"Invalid Employee ID",0,-1)</f>
        <v>78976</v>
      </c>
    </row>
    <row r="42" spans="1:4" x14ac:dyDescent="0.3">
      <c r="A42" s="54" t="s">
        <v>154</v>
      </c>
      <c r="B42" s="14" t="str">
        <f>_xlfn.XLOOKUP(EmployeeAttendance[[#This Row],[Employee ID]],EmployeeMaster[Employee ID],EmployeeMaster[Employee Name],"Invalid Employee ID")</f>
        <v>Jui</v>
      </c>
      <c r="C42" s="14" t="str">
        <f>_xlfn.XLOOKUP(EmployeeAttendance[[#This Row],[Employee ID]],EmployeeMaster[Employee ID],EmployeeMaster[Department],"Invalid Employee ID")</f>
        <v>Sales</v>
      </c>
      <c r="D42" s="60">
        <f>_xlfn.XLOOKUP(EmployeeAttendance[[#This Row],[Employee ID]],EmployeeMaster[Employee ID],EmployeeMaster[Salary],"Invalid Employee ID",0,-1)</f>
        <v>90000</v>
      </c>
    </row>
    <row r="43" spans="1:4" x14ac:dyDescent="0.3">
      <c r="A43" s="54" t="s">
        <v>154</v>
      </c>
      <c r="B43" s="14" t="str">
        <f>_xlfn.XLOOKUP(EmployeeAttendance[[#This Row],[Employee ID]],EmployeeMaster[Employee ID],EmployeeMaster[Employee Name],"Invalid Employee ID")</f>
        <v>Jui</v>
      </c>
      <c r="C43" s="14" t="str">
        <f>_xlfn.XLOOKUP(EmployeeAttendance[[#This Row],[Employee ID]],EmployeeMaster[Employee ID],EmployeeMaster[Department],"Invalid Employee ID")</f>
        <v>Sales</v>
      </c>
      <c r="D43" s="60">
        <f>_xlfn.XLOOKUP(EmployeeAttendance[[#This Row],[Employee ID]],EmployeeMaster[Employee ID],EmployeeMaster[Salary],"Invalid Employee ID",0,-1)</f>
        <v>90000</v>
      </c>
    </row>
    <row r="44" spans="1:4" x14ac:dyDescent="0.3">
      <c r="A44" s="54" t="s">
        <v>175</v>
      </c>
      <c r="B44" s="14" t="str">
        <f>_xlfn.XLOOKUP(EmployeeAttendance[[#This Row],[Employee ID]],EmployeeMaster[Employee ID],EmployeeMaster[Employee Name],"Invalid Employee ID")</f>
        <v>Rifat</v>
      </c>
      <c r="C44" s="14" t="str">
        <f>_xlfn.XLOOKUP(EmployeeAttendance[[#This Row],[Employee ID]],EmployeeMaster[Employee ID],EmployeeMaster[Department],"Invalid Employee ID")</f>
        <v>Accounts</v>
      </c>
      <c r="D44" s="60">
        <f>_xlfn.XLOOKUP(EmployeeAttendance[[#This Row],[Employee ID]],EmployeeMaster[Employee ID],EmployeeMaster[Salary],"Invalid Employee ID",0,-1)</f>
        <v>79122</v>
      </c>
    </row>
    <row r="45" spans="1:4" x14ac:dyDescent="0.3">
      <c r="A45" s="54" t="s">
        <v>162</v>
      </c>
      <c r="B45" s="14" t="str">
        <f>_xlfn.XLOOKUP(EmployeeAttendance[[#This Row],[Employee ID]],EmployeeMaster[Employee ID],EmployeeMaster[Employee Name],"Invalid Employee ID")</f>
        <v>Sadia</v>
      </c>
      <c r="C45" s="14" t="str">
        <f>_xlfn.XLOOKUP(EmployeeAttendance[[#This Row],[Employee ID]],EmployeeMaster[Employee ID],EmployeeMaster[Department],"Invalid Employee ID")</f>
        <v>Sales</v>
      </c>
      <c r="D45" s="60">
        <f>_xlfn.XLOOKUP(EmployeeAttendance[[#This Row],[Employee ID]],EmployeeMaster[Employee ID],EmployeeMaster[Salary],"Invalid Employee ID",0,-1)</f>
        <v>78976</v>
      </c>
    </row>
    <row r="46" spans="1:4" x14ac:dyDescent="0.3">
      <c r="A46" s="54" t="s">
        <v>157</v>
      </c>
      <c r="B46" s="14" t="str">
        <f>_xlfn.XLOOKUP(EmployeeAttendance[[#This Row],[Employee ID]],EmployeeMaster[Employee ID],EmployeeMaster[Employee Name],"Invalid Employee ID")</f>
        <v>Karim</v>
      </c>
      <c r="C46" s="14" t="str">
        <f>_xlfn.XLOOKUP(EmployeeAttendance[[#This Row],[Employee ID]],EmployeeMaster[Employee ID],EmployeeMaster[Department],"Invalid Employee ID")</f>
        <v>HR</v>
      </c>
      <c r="D46" s="60">
        <f>_xlfn.XLOOKUP(EmployeeAttendance[[#This Row],[Employee ID]],EmployeeMaster[Employee ID],EmployeeMaster[Salary],"Invalid Employee ID",0,-1)</f>
        <v>70219</v>
      </c>
    </row>
    <row r="47" spans="1:4" x14ac:dyDescent="0.3">
      <c r="A47" s="54" t="s">
        <v>166</v>
      </c>
      <c r="B47" s="14" t="str">
        <f>_xlfn.XLOOKUP(EmployeeAttendance[[#This Row],[Employee ID]],EmployeeMaster[Employee ID],EmployeeMaster[Employee Name],"Invalid Employee ID")</f>
        <v>Sadia</v>
      </c>
      <c r="C47" s="14" t="str">
        <f>_xlfn.XLOOKUP(EmployeeAttendance[[#This Row],[Employee ID]],EmployeeMaster[Employee ID],EmployeeMaster[Department],"Invalid Employee ID")</f>
        <v>Sales</v>
      </c>
      <c r="D47" s="60">
        <f>_xlfn.XLOOKUP(EmployeeAttendance[[#This Row],[Employee ID]],EmployeeMaster[Employee ID],EmployeeMaster[Salary],"Invalid Employee ID",0,-1)</f>
        <v>45834</v>
      </c>
    </row>
    <row r="48" spans="1:4" x14ac:dyDescent="0.3">
      <c r="A48" s="54" t="s">
        <v>172</v>
      </c>
      <c r="B48" s="14" t="str">
        <f>_xlfn.XLOOKUP(EmployeeAttendance[[#This Row],[Employee ID]],EmployeeMaster[Employee ID],EmployeeMaster[Employee Name],"Invalid Employee ID")</f>
        <v>Rima</v>
      </c>
      <c r="C48" s="14" t="str">
        <f>_xlfn.XLOOKUP(EmployeeAttendance[[#This Row],[Employee ID]],EmployeeMaster[Employee ID],EmployeeMaster[Department],"Invalid Employee ID")</f>
        <v>HR</v>
      </c>
      <c r="D48" s="60">
        <f>_xlfn.XLOOKUP(EmployeeAttendance[[#This Row],[Employee ID]],EmployeeMaster[Employee ID],EmployeeMaster[Salary],"Invalid Employee ID",0,-1)</f>
        <v>84704</v>
      </c>
    </row>
    <row r="49" spans="1:4" x14ac:dyDescent="0.3">
      <c r="A49" s="54" t="s">
        <v>177</v>
      </c>
      <c r="B49" s="14" t="str">
        <f>_xlfn.XLOOKUP(EmployeeAttendance[[#This Row],[Employee ID]],EmployeeMaster[Employee ID],EmployeeMaster[Employee Name],"Invalid Employee ID")</f>
        <v>Tania</v>
      </c>
      <c r="C49" s="14" t="str">
        <f>_xlfn.XLOOKUP(EmployeeAttendance[[#This Row],[Employee ID]],EmployeeMaster[Employee ID],EmployeeMaster[Department],"Invalid Employee ID")</f>
        <v>HR</v>
      </c>
      <c r="D49" s="60">
        <f>_xlfn.XLOOKUP(EmployeeAttendance[[#This Row],[Employee ID]],EmployeeMaster[Employee ID],EmployeeMaster[Salary],"Invalid Employee ID",0,-1)</f>
        <v>47746</v>
      </c>
    </row>
    <row r="50" spans="1:4" x14ac:dyDescent="0.3">
      <c r="A50" s="54" t="s">
        <v>178</v>
      </c>
      <c r="B50" s="14" t="str">
        <f>_xlfn.XLOOKUP(EmployeeAttendance[[#This Row],[Employee ID]],EmployeeMaster[Employee ID],EmployeeMaster[Employee Name],"Invalid Employee ID")</f>
        <v>Karim</v>
      </c>
      <c r="C50" s="14" t="str">
        <f>_xlfn.XLOOKUP(EmployeeAttendance[[#This Row],[Employee ID]],EmployeeMaster[Employee ID],EmployeeMaster[Department],"Invalid Employee ID")</f>
        <v>Accounts</v>
      </c>
      <c r="D50" s="60">
        <f>_xlfn.XLOOKUP(EmployeeAttendance[[#This Row],[Employee ID]],EmployeeMaster[Employee ID],EmployeeMaster[Salary],"Invalid Employee ID",0,-1)</f>
        <v>36748</v>
      </c>
    </row>
    <row r="51" spans="1:4" x14ac:dyDescent="0.3">
      <c r="A51" s="54" t="s">
        <v>179</v>
      </c>
      <c r="B51" s="14" t="str">
        <f>_xlfn.XLOOKUP(EmployeeAttendance[[#This Row],[Employee ID]],EmployeeMaster[Employee ID],EmployeeMaster[Employee Name],"Invalid Employee ID")</f>
        <v>Nadia</v>
      </c>
      <c r="C51" s="14" t="str">
        <f>_xlfn.XLOOKUP(EmployeeAttendance[[#This Row],[Employee ID]],EmployeeMaster[Employee ID],EmployeeMaster[Department],"Invalid Employee ID")</f>
        <v>HR</v>
      </c>
      <c r="D51" s="60">
        <f>_xlfn.XLOOKUP(EmployeeAttendance[[#This Row],[Employee ID]],EmployeeMaster[Employee ID],EmployeeMaster[Salary],"Invalid Employee ID",0,-1)</f>
        <v>40644</v>
      </c>
    </row>
    <row r="52" spans="1:4" x14ac:dyDescent="0.3">
      <c r="A52" s="54" t="s">
        <v>160</v>
      </c>
      <c r="B52" s="14" t="str">
        <f>_xlfn.XLOOKUP(EmployeeAttendance[[#This Row],[Employee ID]],EmployeeMaster[Employee ID],EmployeeMaster[Employee Name],"Invalid Employee ID")</f>
        <v>Rifat</v>
      </c>
      <c r="C52" s="14" t="str">
        <f>_xlfn.XLOOKUP(EmployeeAttendance[[#This Row],[Employee ID]],EmployeeMaster[Employee ID],EmployeeMaster[Department],"Invalid Employee ID")</f>
        <v>HR</v>
      </c>
      <c r="D52" s="60">
        <f>_xlfn.XLOOKUP(EmployeeAttendance[[#This Row],[Employee ID]],EmployeeMaster[Employee ID],EmployeeMaster[Salary],"Invalid Employee ID",0,-1)</f>
        <v>70000</v>
      </c>
    </row>
    <row r="53" spans="1:4" x14ac:dyDescent="0.3">
      <c r="A53" s="54" t="s">
        <v>167</v>
      </c>
      <c r="B53" s="14" t="str">
        <f>_xlfn.XLOOKUP(EmployeeAttendance[[#This Row],[Employee ID]],EmployeeMaster[Employee ID],EmployeeMaster[Employee Name],"Invalid Employee ID")</f>
        <v>Nabila</v>
      </c>
      <c r="C53" s="14" t="str">
        <f>_xlfn.XLOOKUP(EmployeeAttendance[[#This Row],[Employee ID]],EmployeeMaster[Employee ID],EmployeeMaster[Department],"Invalid Employee ID")</f>
        <v>HR</v>
      </c>
      <c r="D53" s="60">
        <f>_xlfn.XLOOKUP(EmployeeAttendance[[#This Row],[Employee ID]],EmployeeMaster[Employee ID],EmployeeMaster[Salary],"Invalid Employee ID",0,-1)</f>
        <v>80000</v>
      </c>
    </row>
    <row r="54" spans="1:4" x14ac:dyDescent="0.3">
      <c r="A54" s="54" t="s">
        <v>172</v>
      </c>
      <c r="B54" s="14" t="str">
        <f>_xlfn.XLOOKUP(EmployeeAttendance[[#This Row],[Employee ID]],EmployeeMaster[Employee ID],EmployeeMaster[Employee Name],"Invalid Employee ID")</f>
        <v>Rima</v>
      </c>
      <c r="C54" s="14" t="str">
        <f>_xlfn.XLOOKUP(EmployeeAttendance[[#This Row],[Employee ID]],EmployeeMaster[Employee ID],EmployeeMaster[Department],"Invalid Employee ID")</f>
        <v>HR</v>
      </c>
      <c r="D54" s="60">
        <f>_xlfn.XLOOKUP(EmployeeAttendance[[#This Row],[Employee ID]],EmployeeMaster[Employee ID],EmployeeMaster[Salary],"Invalid Employee ID",0,-1)</f>
        <v>84704</v>
      </c>
    </row>
    <row r="55" spans="1:4" x14ac:dyDescent="0.3">
      <c r="A55" s="54" t="s">
        <v>175</v>
      </c>
      <c r="B55" s="14" t="str">
        <f>_xlfn.XLOOKUP(EmployeeAttendance[[#This Row],[Employee ID]],EmployeeMaster[Employee ID],EmployeeMaster[Employee Name],"Invalid Employee ID")</f>
        <v>Rifat</v>
      </c>
      <c r="C55" s="14" t="str">
        <f>_xlfn.XLOOKUP(EmployeeAttendance[[#This Row],[Employee ID]],EmployeeMaster[Employee ID],EmployeeMaster[Department],"Invalid Employee ID")</f>
        <v>Accounts</v>
      </c>
      <c r="D55" s="60">
        <f>_xlfn.XLOOKUP(EmployeeAttendance[[#This Row],[Employee ID]],EmployeeMaster[Employee ID],EmployeeMaster[Salary],"Invalid Employee ID",0,-1)</f>
        <v>79122</v>
      </c>
    </row>
    <row r="56" spans="1:4" x14ac:dyDescent="0.3">
      <c r="A56" s="54" t="s">
        <v>170</v>
      </c>
      <c r="B56" s="14" t="str">
        <f>_xlfn.XLOOKUP(EmployeeAttendance[[#This Row],[Employee ID]],EmployeeMaster[Employee ID],EmployeeMaster[Employee Name],"Invalid Employee ID")</f>
        <v>Tania</v>
      </c>
      <c r="C56" s="14" t="str">
        <f>_xlfn.XLOOKUP(EmployeeAttendance[[#This Row],[Employee ID]],EmployeeMaster[Employee ID],EmployeeMaster[Department],"Invalid Employee ID")</f>
        <v>Sales</v>
      </c>
      <c r="D56" s="60">
        <f>_xlfn.XLOOKUP(EmployeeAttendance[[#This Row],[Employee ID]],EmployeeMaster[Employee ID],EmployeeMaster[Salary],"Invalid Employee ID",0,-1)</f>
        <v>53250</v>
      </c>
    </row>
    <row r="57" spans="1:4" x14ac:dyDescent="0.3">
      <c r="A57" s="54" t="s">
        <v>170</v>
      </c>
      <c r="B57" s="14" t="str">
        <f>_xlfn.XLOOKUP(EmployeeAttendance[[#This Row],[Employee ID]],EmployeeMaster[Employee ID],EmployeeMaster[Employee Name],"Invalid Employee ID")</f>
        <v>Tania</v>
      </c>
      <c r="C57" s="14" t="str">
        <f>_xlfn.XLOOKUP(EmployeeAttendance[[#This Row],[Employee ID]],EmployeeMaster[Employee ID],EmployeeMaster[Department],"Invalid Employee ID")</f>
        <v>Sales</v>
      </c>
      <c r="D57" s="60">
        <f>_xlfn.XLOOKUP(EmployeeAttendance[[#This Row],[Employee ID]],EmployeeMaster[Employee ID],EmployeeMaster[Salary],"Invalid Employee ID",0,-1)</f>
        <v>53250</v>
      </c>
    </row>
    <row r="58" spans="1:4" x14ac:dyDescent="0.3">
      <c r="A58" s="54" t="s">
        <v>159</v>
      </c>
      <c r="B58" s="14" t="str">
        <f>_xlfn.XLOOKUP(EmployeeAttendance[[#This Row],[Employee ID]],EmployeeMaster[Employee ID],EmployeeMaster[Employee Name],"Invalid Employee ID")</f>
        <v>Sohan</v>
      </c>
      <c r="C58" s="14" t="str">
        <f>_xlfn.XLOOKUP(EmployeeAttendance[[#This Row],[Employee ID]],EmployeeMaster[Employee ID],EmployeeMaster[Department],"Invalid Employee ID")</f>
        <v>IT</v>
      </c>
      <c r="D58" s="60">
        <f>_xlfn.XLOOKUP(EmployeeAttendance[[#This Row],[Employee ID]],EmployeeMaster[Employee ID],EmployeeMaster[Salary],"Invalid Employee ID",0,-1)</f>
        <v>60818</v>
      </c>
    </row>
    <row r="59" spans="1:4" x14ac:dyDescent="0.3">
      <c r="A59" s="54" t="s">
        <v>154</v>
      </c>
      <c r="B59" s="14" t="str">
        <f>_xlfn.XLOOKUP(EmployeeAttendance[[#This Row],[Employee ID]],EmployeeMaster[Employee ID],EmployeeMaster[Employee Name],"Invalid Employee ID")</f>
        <v>Jui</v>
      </c>
      <c r="C59" s="14" t="str">
        <f>_xlfn.XLOOKUP(EmployeeAttendance[[#This Row],[Employee ID]],EmployeeMaster[Employee ID],EmployeeMaster[Department],"Invalid Employee ID")</f>
        <v>Sales</v>
      </c>
      <c r="D59" s="60">
        <f>_xlfn.XLOOKUP(EmployeeAttendance[[#This Row],[Employee ID]],EmployeeMaster[Employee ID],EmployeeMaster[Salary],"Invalid Employee ID",0,-1)</f>
        <v>90000</v>
      </c>
    </row>
    <row r="60" spans="1:4" x14ac:dyDescent="0.3">
      <c r="A60" s="54" t="s">
        <v>170</v>
      </c>
      <c r="B60" s="14" t="str">
        <f>_xlfn.XLOOKUP(EmployeeAttendance[[#This Row],[Employee ID]],EmployeeMaster[Employee ID],EmployeeMaster[Employee Name],"Invalid Employee ID")</f>
        <v>Tania</v>
      </c>
      <c r="C60" s="14" t="str">
        <f>_xlfn.XLOOKUP(EmployeeAttendance[[#This Row],[Employee ID]],EmployeeMaster[Employee ID],EmployeeMaster[Department],"Invalid Employee ID")</f>
        <v>Sales</v>
      </c>
      <c r="D60" s="60">
        <f>_xlfn.XLOOKUP(EmployeeAttendance[[#This Row],[Employee ID]],EmployeeMaster[Employee ID],EmployeeMaster[Salary],"Invalid Employee ID",0,-1)</f>
        <v>53250</v>
      </c>
    </row>
    <row r="61" spans="1:4" x14ac:dyDescent="0.3">
      <c r="A61" s="54" t="s">
        <v>169</v>
      </c>
      <c r="B61" s="14" t="str">
        <f>_xlfn.XLOOKUP(EmployeeAttendance[[#This Row],[Employee ID]],EmployeeMaster[Employee ID],EmployeeMaster[Employee Name],"Invalid Employee ID")</f>
        <v>Rima</v>
      </c>
      <c r="C61" s="14" t="str">
        <f>_xlfn.XLOOKUP(EmployeeAttendance[[#This Row],[Employee ID]],EmployeeMaster[Employee ID],EmployeeMaster[Department],"Invalid Employee ID")</f>
        <v>Sales</v>
      </c>
      <c r="D61" s="60">
        <f>_xlfn.XLOOKUP(EmployeeAttendance[[#This Row],[Employee ID]],EmployeeMaster[Employee ID],EmployeeMaster[Salary],"Invalid Employee ID",0,-1)</f>
        <v>31666</v>
      </c>
    </row>
    <row r="62" spans="1:4" x14ac:dyDescent="0.3">
      <c r="A62" s="54" t="s">
        <v>160</v>
      </c>
      <c r="B62" s="14" t="str">
        <f>_xlfn.XLOOKUP(EmployeeAttendance[[#This Row],[Employee ID]],EmployeeMaster[Employee ID],EmployeeMaster[Employee Name],"Invalid Employee ID")</f>
        <v>Rifat</v>
      </c>
      <c r="C62" s="14" t="str">
        <f>_xlfn.XLOOKUP(EmployeeAttendance[[#This Row],[Employee ID]],EmployeeMaster[Employee ID],EmployeeMaster[Department],"Invalid Employee ID")</f>
        <v>HR</v>
      </c>
      <c r="D62" s="60">
        <f>_xlfn.XLOOKUP(EmployeeAttendance[[#This Row],[Employee ID]],EmployeeMaster[Employee ID],EmployeeMaster[Salary],"Invalid Employee ID",0,-1)</f>
        <v>70000</v>
      </c>
    </row>
    <row r="63" spans="1:4" x14ac:dyDescent="0.3">
      <c r="A63" s="54" t="s">
        <v>165</v>
      </c>
      <c r="B63" s="14" t="str">
        <f>_xlfn.XLOOKUP(EmployeeAttendance[[#This Row],[Employee ID]],EmployeeMaster[Employee ID],EmployeeMaster[Employee Name],"Invalid Employee ID")</f>
        <v>Tania</v>
      </c>
      <c r="C63" s="14" t="str">
        <f>_xlfn.XLOOKUP(EmployeeAttendance[[#This Row],[Employee ID]],EmployeeMaster[Employee ID],EmployeeMaster[Department],"Invalid Employee ID")</f>
        <v>HR</v>
      </c>
      <c r="D63" s="60">
        <f>_xlfn.XLOOKUP(EmployeeAttendance[[#This Row],[Employee ID]],EmployeeMaster[Employee ID],EmployeeMaster[Salary],"Invalid Employee ID",0,-1)</f>
        <v>36029</v>
      </c>
    </row>
    <row r="64" spans="1:4" x14ac:dyDescent="0.3">
      <c r="A64" s="54" t="s">
        <v>180</v>
      </c>
      <c r="B64" s="14" t="str">
        <f>_xlfn.XLOOKUP(EmployeeAttendance[[#This Row],[Employee ID]],EmployeeMaster[Employee ID],EmployeeMaster[Employee Name],"Invalid Employee ID")</f>
        <v>Tania</v>
      </c>
      <c r="C64" s="14" t="str">
        <f>_xlfn.XLOOKUP(EmployeeAttendance[[#This Row],[Employee ID]],EmployeeMaster[Employee ID],EmployeeMaster[Department],"Invalid Employee ID")</f>
        <v>Sales</v>
      </c>
      <c r="D64" s="60">
        <f>_xlfn.XLOOKUP(EmployeeAttendance[[#This Row],[Employee ID]],EmployeeMaster[Employee ID],EmployeeMaster[Salary],"Invalid Employee ID",0,-1)</f>
        <v>36555</v>
      </c>
    </row>
    <row r="65" spans="1:4" x14ac:dyDescent="0.3">
      <c r="A65" s="54" t="s">
        <v>181</v>
      </c>
      <c r="B65" s="14" t="str">
        <f>_xlfn.XLOOKUP(EmployeeAttendance[[#This Row],[Employee ID]],EmployeeMaster[Employee ID],EmployeeMaster[Employee Name],"Invalid Employee ID")</f>
        <v>Karim</v>
      </c>
      <c r="C65" s="14" t="str">
        <f>_xlfn.XLOOKUP(EmployeeAttendance[[#This Row],[Employee ID]],EmployeeMaster[Employee ID],EmployeeMaster[Department],"Invalid Employee ID")</f>
        <v>Accounts</v>
      </c>
      <c r="D65" s="60">
        <f>_xlfn.XLOOKUP(EmployeeAttendance[[#This Row],[Employee ID]],EmployeeMaster[Employee ID],EmployeeMaster[Salary],"Invalid Employee ID",0,-1)</f>
        <v>44297</v>
      </c>
    </row>
    <row r="66" spans="1:4" x14ac:dyDescent="0.3">
      <c r="A66" s="54" t="s">
        <v>173</v>
      </c>
      <c r="B66" s="14" t="str">
        <f>_xlfn.XLOOKUP(EmployeeAttendance[[#This Row],[Employee ID]],EmployeeMaster[Employee ID],EmployeeMaster[Employee Name],"Invalid Employee ID")</f>
        <v>Karim</v>
      </c>
      <c r="C66" s="14" t="str">
        <f>_xlfn.XLOOKUP(EmployeeAttendance[[#This Row],[Employee ID]],EmployeeMaster[Employee ID],EmployeeMaster[Department],"Invalid Employee ID")</f>
        <v>HR</v>
      </c>
      <c r="D66" s="60">
        <f>_xlfn.XLOOKUP(EmployeeAttendance[[#This Row],[Employee ID]],EmployeeMaster[Employee ID],EmployeeMaster[Salary],"Invalid Employee ID",0,-1)</f>
        <v>86625</v>
      </c>
    </row>
    <row r="67" spans="1:4" x14ac:dyDescent="0.3">
      <c r="A67" s="54" t="s">
        <v>182</v>
      </c>
      <c r="B67" s="14" t="str">
        <f>_xlfn.XLOOKUP(EmployeeAttendance[[#This Row],[Employee ID]],EmployeeMaster[Employee ID],EmployeeMaster[Employee Name],"Invalid Employee ID")</f>
        <v>Rima</v>
      </c>
      <c r="C67" s="14" t="str">
        <f>_xlfn.XLOOKUP(EmployeeAttendance[[#This Row],[Employee ID]],EmployeeMaster[Employee ID],EmployeeMaster[Department],"Invalid Employee ID")</f>
        <v>Sales</v>
      </c>
      <c r="D67" s="60">
        <f>_xlfn.XLOOKUP(EmployeeAttendance[[#This Row],[Employee ID]],EmployeeMaster[Employee ID],EmployeeMaster[Salary],"Invalid Employee ID",0,-1)</f>
        <v>69227</v>
      </c>
    </row>
    <row r="68" spans="1:4" x14ac:dyDescent="0.3">
      <c r="A68" s="54" t="s">
        <v>181</v>
      </c>
      <c r="B68" s="14" t="str">
        <f>_xlfn.XLOOKUP(EmployeeAttendance[[#This Row],[Employee ID]],EmployeeMaster[Employee ID],EmployeeMaster[Employee Name],"Invalid Employee ID")</f>
        <v>Karim</v>
      </c>
      <c r="C68" s="14" t="str">
        <f>_xlfn.XLOOKUP(EmployeeAttendance[[#This Row],[Employee ID]],EmployeeMaster[Employee ID],EmployeeMaster[Department],"Invalid Employee ID")</f>
        <v>Accounts</v>
      </c>
      <c r="D68" s="60">
        <f>_xlfn.XLOOKUP(EmployeeAttendance[[#This Row],[Employee ID]],EmployeeMaster[Employee ID],EmployeeMaster[Salary],"Invalid Employee ID",0,-1)</f>
        <v>44297</v>
      </c>
    </row>
    <row r="69" spans="1:4" x14ac:dyDescent="0.3">
      <c r="A69" s="54" t="s">
        <v>167</v>
      </c>
      <c r="B69" s="14" t="str">
        <f>_xlfn.XLOOKUP(EmployeeAttendance[[#This Row],[Employee ID]],EmployeeMaster[Employee ID],EmployeeMaster[Employee Name],"Invalid Employee ID")</f>
        <v>Nabila</v>
      </c>
      <c r="C69" s="14" t="str">
        <f>_xlfn.XLOOKUP(EmployeeAttendance[[#This Row],[Employee ID]],EmployeeMaster[Employee ID],EmployeeMaster[Department],"Invalid Employee ID")</f>
        <v>HR</v>
      </c>
      <c r="D69" s="60">
        <f>_xlfn.XLOOKUP(EmployeeAttendance[[#This Row],[Employee ID]],EmployeeMaster[Employee ID],EmployeeMaster[Salary],"Invalid Employee ID",0,-1)</f>
        <v>80000</v>
      </c>
    </row>
    <row r="70" spans="1:4" x14ac:dyDescent="0.3">
      <c r="A70" s="54" t="s">
        <v>157</v>
      </c>
      <c r="B70" s="14" t="str">
        <f>_xlfn.XLOOKUP(EmployeeAttendance[[#This Row],[Employee ID]],EmployeeMaster[Employee ID],EmployeeMaster[Employee Name],"Invalid Employee ID")</f>
        <v>Karim</v>
      </c>
      <c r="C70" s="14" t="str">
        <f>_xlfn.XLOOKUP(EmployeeAttendance[[#This Row],[Employee ID]],EmployeeMaster[Employee ID],EmployeeMaster[Department],"Invalid Employee ID")</f>
        <v>HR</v>
      </c>
      <c r="D70" s="60">
        <f>_xlfn.XLOOKUP(EmployeeAttendance[[#This Row],[Employee ID]],EmployeeMaster[Employee ID],EmployeeMaster[Salary],"Invalid Employee ID",0,-1)</f>
        <v>70219</v>
      </c>
    </row>
    <row r="71" spans="1:4" x14ac:dyDescent="0.3">
      <c r="A71" s="54" t="s">
        <v>159</v>
      </c>
      <c r="B71" s="14" t="str">
        <f>_xlfn.XLOOKUP(EmployeeAttendance[[#This Row],[Employee ID]],EmployeeMaster[Employee ID],EmployeeMaster[Employee Name],"Invalid Employee ID")</f>
        <v>Sohan</v>
      </c>
      <c r="C71" s="14" t="str">
        <f>_xlfn.XLOOKUP(EmployeeAttendance[[#This Row],[Employee ID]],EmployeeMaster[Employee ID],EmployeeMaster[Department],"Invalid Employee ID")</f>
        <v>IT</v>
      </c>
      <c r="D71" s="60">
        <f>_xlfn.XLOOKUP(EmployeeAttendance[[#This Row],[Employee ID]],EmployeeMaster[Employee ID],EmployeeMaster[Salary],"Invalid Employee ID",0,-1)</f>
        <v>60818</v>
      </c>
    </row>
    <row r="72" spans="1:4" x14ac:dyDescent="0.3">
      <c r="A72" s="54" t="s">
        <v>173</v>
      </c>
      <c r="B72" s="14" t="str">
        <f>_xlfn.XLOOKUP(EmployeeAttendance[[#This Row],[Employee ID]],EmployeeMaster[Employee ID],EmployeeMaster[Employee Name],"Invalid Employee ID")</f>
        <v>Karim</v>
      </c>
      <c r="C72" s="14" t="str">
        <f>_xlfn.XLOOKUP(EmployeeAttendance[[#This Row],[Employee ID]],EmployeeMaster[Employee ID],EmployeeMaster[Department],"Invalid Employee ID")</f>
        <v>HR</v>
      </c>
      <c r="D72" s="60">
        <f>_xlfn.XLOOKUP(EmployeeAttendance[[#This Row],[Employee ID]],EmployeeMaster[Employee ID],EmployeeMaster[Salary],"Invalid Employee ID",0,-1)</f>
        <v>86625</v>
      </c>
    </row>
    <row r="73" spans="1:4" x14ac:dyDescent="0.3">
      <c r="A73" s="54" t="s">
        <v>164</v>
      </c>
      <c r="B73" s="14" t="str">
        <f>_xlfn.XLOOKUP(EmployeeAttendance[[#This Row],[Employee ID]],EmployeeMaster[Employee ID],EmployeeMaster[Employee Name],"Invalid Employee ID")</f>
        <v>Rima</v>
      </c>
      <c r="C73" s="14" t="str">
        <f>_xlfn.XLOOKUP(EmployeeAttendance[[#This Row],[Employee ID]],EmployeeMaster[Employee ID],EmployeeMaster[Department],"Invalid Employee ID")</f>
        <v>IT</v>
      </c>
      <c r="D73" s="60">
        <f>_xlfn.XLOOKUP(EmployeeAttendance[[#This Row],[Employee ID]],EmployeeMaster[Employee ID],EmployeeMaster[Salary],"Invalid Employee ID",0,-1)</f>
        <v>32340</v>
      </c>
    </row>
    <row r="74" spans="1:4" x14ac:dyDescent="0.3">
      <c r="A74" s="54" t="s">
        <v>177</v>
      </c>
      <c r="B74" s="14" t="str">
        <f>_xlfn.XLOOKUP(EmployeeAttendance[[#This Row],[Employee ID]],EmployeeMaster[Employee ID],EmployeeMaster[Employee Name],"Invalid Employee ID")</f>
        <v>Tania</v>
      </c>
      <c r="C74" s="14" t="str">
        <f>_xlfn.XLOOKUP(EmployeeAttendance[[#This Row],[Employee ID]],EmployeeMaster[Employee ID],EmployeeMaster[Department],"Invalid Employee ID")</f>
        <v>HR</v>
      </c>
      <c r="D74" s="60">
        <f>_xlfn.XLOOKUP(EmployeeAttendance[[#This Row],[Employee ID]],EmployeeMaster[Employee ID],EmployeeMaster[Salary],"Invalid Employee ID",0,-1)</f>
        <v>47746</v>
      </c>
    </row>
    <row r="75" spans="1:4" x14ac:dyDescent="0.3">
      <c r="A75" s="54" t="s">
        <v>157</v>
      </c>
      <c r="B75" s="14" t="str">
        <f>_xlfn.XLOOKUP(EmployeeAttendance[[#This Row],[Employee ID]],EmployeeMaster[Employee ID],EmployeeMaster[Employee Name],"Invalid Employee ID")</f>
        <v>Karim</v>
      </c>
      <c r="C75" s="14" t="str">
        <f>_xlfn.XLOOKUP(EmployeeAttendance[[#This Row],[Employee ID]],EmployeeMaster[Employee ID],EmployeeMaster[Department],"Invalid Employee ID")</f>
        <v>HR</v>
      </c>
      <c r="D75" s="60">
        <f>_xlfn.XLOOKUP(EmployeeAttendance[[#This Row],[Employee ID]],EmployeeMaster[Employee ID],EmployeeMaster[Salary],"Invalid Employee ID",0,-1)</f>
        <v>70219</v>
      </c>
    </row>
    <row r="76" spans="1:4" x14ac:dyDescent="0.3">
      <c r="A76" s="54" t="s">
        <v>174</v>
      </c>
      <c r="B76" s="14" t="str">
        <f>_xlfn.XLOOKUP(EmployeeAttendance[[#This Row],[Employee ID]],EmployeeMaster[Employee ID],EmployeeMaster[Employee Name],"Invalid Employee ID")</f>
        <v>Rima</v>
      </c>
      <c r="C76" s="14" t="str">
        <f>_xlfn.XLOOKUP(EmployeeAttendance[[#This Row],[Employee ID]],EmployeeMaster[Employee ID],EmployeeMaster[Department],"Invalid Employee ID")</f>
        <v>IT</v>
      </c>
      <c r="D76" s="60">
        <f>_xlfn.XLOOKUP(EmployeeAttendance[[#This Row],[Employee ID]],EmployeeMaster[Employee ID],EmployeeMaster[Salary],"Invalid Employee ID",0,-1)</f>
        <v>45375</v>
      </c>
    </row>
    <row r="77" spans="1:4" x14ac:dyDescent="0.3">
      <c r="A77" s="54" t="s">
        <v>155</v>
      </c>
      <c r="B77" s="14" t="str">
        <f>_xlfn.XLOOKUP(EmployeeAttendance[[#This Row],[Employee ID]],EmployeeMaster[Employee ID],EmployeeMaster[Employee Name],"Invalid Employee ID")</f>
        <v>Jui</v>
      </c>
      <c r="C77" s="14" t="str">
        <f>_xlfn.XLOOKUP(EmployeeAttendance[[#This Row],[Employee ID]],EmployeeMaster[Employee ID],EmployeeMaster[Department],"Invalid Employee ID")</f>
        <v>HR</v>
      </c>
      <c r="D77" s="60">
        <f>_xlfn.XLOOKUP(EmployeeAttendance[[#This Row],[Employee ID]],EmployeeMaster[Employee ID],EmployeeMaster[Salary],"Invalid Employee ID",0,-1)</f>
        <v>35826</v>
      </c>
    </row>
    <row r="78" spans="1:4" x14ac:dyDescent="0.3">
      <c r="A78" s="54" t="s">
        <v>177</v>
      </c>
      <c r="B78" s="14" t="str">
        <f>_xlfn.XLOOKUP(EmployeeAttendance[[#This Row],[Employee ID]],EmployeeMaster[Employee ID],EmployeeMaster[Employee Name],"Invalid Employee ID")</f>
        <v>Tania</v>
      </c>
      <c r="C78" s="14" t="str">
        <f>_xlfn.XLOOKUP(EmployeeAttendance[[#This Row],[Employee ID]],EmployeeMaster[Employee ID],EmployeeMaster[Department],"Invalid Employee ID")</f>
        <v>HR</v>
      </c>
      <c r="D78" s="60">
        <f>_xlfn.XLOOKUP(EmployeeAttendance[[#This Row],[Employee ID]],EmployeeMaster[Employee ID],EmployeeMaster[Salary],"Invalid Employee ID",0,-1)</f>
        <v>47746</v>
      </c>
    </row>
    <row r="79" spans="1:4" x14ac:dyDescent="0.3">
      <c r="A79" s="54" t="s">
        <v>179</v>
      </c>
      <c r="B79" s="14" t="str">
        <f>_xlfn.XLOOKUP(EmployeeAttendance[[#This Row],[Employee ID]],EmployeeMaster[Employee ID],EmployeeMaster[Employee Name],"Invalid Employee ID")</f>
        <v>Nadia</v>
      </c>
      <c r="C79" s="14" t="str">
        <f>_xlfn.XLOOKUP(EmployeeAttendance[[#This Row],[Employee ID]],EmployeeMaster[Employee ID],EmployeeMaster[Department],"Invalid Employee ID")</f>
        <v>HR</v>
      </c>
      <c r="D79" s="60">
        <f>_xlfn.XLOOKUP(EmployeeAttendance[[#This Row],[Employee ID]],EmployeeMaster[Employee ID],EmployeeMaster[Salary],"Invalid Employee ID",0,-1)</f>
        <v>40644</v>
      </c>
    </row>
    <row r="80" spans="1:4" x14ac:dyDescent="0.3">
      <c r="A80" s="54" t="s">
        <v>174</v>
      </c>
      <c r="B80" s="14" t="str">
        <f>_xlfn.XLOOKUP(EmployeeAttendance[[#This Row],[Employee ID]],EmployeeMaster[Employee ID],EmployeeMaster[Employee Name],"Invalid Employee ID")</f>
        <v>Rima</v>
      </c>
      <c r="C80" s="14" t="str">
        <f>_xlfn.XLOOKUP(EmployeeAttendance[[#This Row],[Employee ID]],EmployeeMaster[Employee ID],EmployeeMaster[Department],"Invalid Employee ID")</f>
        <v>IT</v>
      </c>
      <c r="D80" s="60">
        <f>_xlfn.XLOOKUP(EmployeeAttendance[[#This Row],[Employee ID]],EmployeeMaster[Employee ID],EmployeeMaster[Salary],"Invalid Employee ID",0,-1)</f>
        <v>45375</v>
      </c>
    </row>
    <row r="81" spans="1:4" x14ac:dyDescent="0.3">
      <c r="A81" s="54" t="s">
        <v>179</v>
      </c>
      <c r="B81" s="14" t="str">
        <f>_xlfn.XLOOKUP(EmployeeAttendance[[#This Row],[Employee ID]],EmployeeMaster[Employee ID],EmployeeMaster[Employee Name],"Invalid Employee ID")</f>
        <v>Nadia</v>
      </c>
      <c r="C81" s="14" t="str">
        <f>_xlfn.XLOOKUP(EmployeeAttendance[[#This Row],[Employee ID]],EmployeeMaster[Employee ID],EmployeeMaster[Department],"Invalid Employee ID")</f>
        <v>HR</v>
      </c>
      <c r="D81" s="60">
        <f>_xlfn.XLOOKUP(EmployeeAttendance[[#This Row],[Employee ID]],EmployeeMaster[Employee ID],EmployeeMaster[Salary],"Invalid Employee ID",0,-1)</f>
        <v>40644</v>
      </c>
    </row>
    <row r="82" spans="1:4" x14ac:dyDescent="0.3">
      <c r="A82" s="54" t="s">
        <v>157</v>
      </c>
      <c r="B82" s="14" t="str">
        <f>_xlfn.XLOOKUP(EmployeeAttendance[[#This Row],[Employee ID]],EmployeeMaster[Employee ID],EmployeeMaster[Employee Name],"Invalid Employee ID")</f>
        <v>Karim</v>
      </c>
      <c r="C82" s="14" t="str">
        <f>_xlfn.XLOOKUP(EmployeeAttendance[[#This Row],[Employee ID]],EmployeeMaster[Employee ID],EmployeeMaster[Department],"Invalid Employee ID")</f>
        <v>HR</v>
      </c>
      <c r="D82" s="60">
        <f>_xlfn.XLOOKUP(EmployeeAttendance[[#This Row],[Employee ID]],EmployeeMaster[Employee ID],EmployeeMaster[Salary],"Invalid Employee ID",0,-1)</f>
        <v>70219</v>
      </c>
    </row>
    <row r="83" spans="1:4" x14ac:dyDescent="0.3">
      <c r="A83" s="54" t="s">
        <v>161</v>
      </c>
      <c r="B83" s="14" t="str">
        <f>_xlfn.XLOOKUP(EmployeeAttendance[[#This Row],[Employee ID]],EmployeeMaster[Employee ID],EmployeeMaster[Employee Name],"Invalid Employee ID")</f>
        <v>Nadia</v>
      </c>
      <c r="C83" s="14" t="str">
        <f>_xlfn.XLOOKUP(EmployeeAttendance[[#This Row],[Employee ID]],EmployeeMaster[Employee ID],EmployeeMaster[Department],"Invalid Employee ID")</f>
        <v>IT</v>
      </c>
      <c r="D83" s="60">
        <f>_xlfn.XLOOKUP(EmployeeAttendance[[#This Row],[Employee ID]],EmployeeMaster[Employee ID],EmployeeMaster[Salary],"Invalid Employee ID",0,-1)</f>
        <v>72444</v>
      </c>
    </row>
    <row r="84" spans="1:4" x14ac:dyDescent="0.3">
      <c r="A84" s="54" t="s">
        <v>157</v>
      </c>
      <c r="B84" s="14" t="str">
        <f>_xlfn.XLOOKUP(EmployeeAttendance[[#This Row],[Employee ID]],EmployeeMaster[Employee ID],EmployeeMaster[Employee Name],"Invalid Employee ID")</f>
        <v>Karim</v>
      </c>
      <c r="C84" s="14" t="str">
        <f>_xlfn.XLOOKUP(EmployeeAttendance[[#This Row],[Employee ID]],EmployeeMaster[Employee ID],EmployeeMaster[Department],"Invalid Employee ID")</f>
        <v>HR</v>
      </c>
      <c r="D84" s="60">
        <f>_xlfn.XLOOKUP(EmployeeAttendance[[#This Row],[Employee ID]],EmployeeMaster[Employee ID],EmployeeMaster[Salary],"Invalid Employee ID",0,-1)</f>
        <v>70219</v>
      </c>
    </row>
    <row r="85" spans="1:4" x14ac:dyDescent="0.3">
      <c r="A85" s="54" t="s">
        <v>164</v>
      </c>
      <c r="B85" s="14" t="str">
        <f>_xlfn.XLOOKUP(EmployeeAttendance[[#This Row],[Employee ID]],EmployeeMaster[Employee ID],EmployeeMaster[Employee Name],"Invalid Employee ID")</f>
        <v>Rima</v>
      </c>
      <c r="C85" s="14" t="str">
        <f>_xlfn.XLOOKUP(EmployeeAttendance[[#This Row],[Employee ID]],EmployeeMaster[Employee ID],EmployeeMaster[Department],"Invalid Employee ID")</f>
        <v>IT</v>
      </c>
      <c r="D85" s="60">
        <f>_xlfn.XLOOKUP(EmployeeAttendance[[#This Row],[Employee ID]],EmployeeMaster[Employee ID],EmployeeMaster[Salary],"Invalid Employee ID",0,-1)</f>
        <v>32340</v>
      </c>
    </row>
    <row r="86" spans="1:4" x14ac:dyDescent="0.3">
      <c r="A86" s="54" t="s">
        <v>161</v>
      </c>
      <c r="B86" s="14" t="str">
        <f>_xlfn.XLOOKUP(EmployeeAttendance[[#This Row],[Employee ID]],EmployeeMaster[Employee ID],EmployeeMaster[Employee Name],"Invalid Employee ID")</f>
        <v>Nadia</v>
      </c>
      <c r="C86" s="14" t="str">
        <f>_xlfn.XLOOKUP(EmployeeAttendance[[#This Row],[Employee ID]],EmployeeMaster[Employee ID],EmployeeMaster[Department],"Invalid Employee ID")</f>
        <v>IT</v>
      </c>
      <c r="D86" s="60">
        <f>_xlfn.XLOOKUP(EmployeeAttendance[[#This Row],[Employee ID]],EmployeeMaster[Employee ID],EmployeeMaster[Salary],"Invalid Employee ID",0,-1)</f>
        <v>72444</v>
      </c>
    </row>
    <row r="87" spans="1:4" x14ac:dyDescent="0.3">
      <c r="A87" s="54" t="s">
        <v>159</v>
      </c>
      <c r="B87" s="14" t="str">
        <f>_xlfn.XLOOKUP(EmployeeAttendance[[#This Row],[Employee ID]],EmployeeMaster[Employee ID],EmployeeMaster[Employee Name],"Invalid Employee ID")</f>
        <v>Sohan</v>
      </c>
      <c r="C87" s="14" t="str">
        <f>_xlfn.XLOOKUP(EmployeeAttendance[[#This Row],[Employee ID]],EmployeeMaster[Employee ID],EmployeeMaster[Department],"Invalid Employee ID")</f>
        <v>IT</v>
      </c>
      <c r="D87" s="60">
        <f>_xlfn.XLOOKUP(EmployeeAttendance[[#This Row],[Employee ID]],EmployeeMaster[Employee ID],EmployeeMaster[Salary],"Invalid Employee ID",0,-1)</f>
        <v>60818</v>
      </c>
    </row>
    <row r="88" spans="1:4" x14ac:dyDescent="0.3">
      <c r="A88" s="54" t="s">
        <v>170</v>
      </c>
      <c r="B88" s="14" t="str">
        <f>_xlfn.XLOOKUP(EmployeeAttendance[[#This Row],[Employee ID]],EmployeeMaster[Employee ID],EmployeeMaster[Employee Name],"Invalid Employee ID")</f>
        <v>Tania</v>
      </c>
      <c r="C88" s="14" t="str">
        <f>_xlfn.XLOOKUP(EmployeeAttendance[[#This Row],[Employee ID]],EmployeeMaster[Employee ID],EmployeeMaster[Department],"Invalid Employee ID")</f>
        <v>Sales</v>
      </c>
      <c r="D88" s="60">
        <f>_xlfn.XLOOKUP(EmployeeAttendance[[#This Row],[Employee ID]],EmployeeMaster[Employee ID],EmployeeMaster[Salary],"Invalid Employee ID",0,-1)</f>
        <v>53250</v>
      </c>
    </row>
    <row r="89" spans="1:4" x14ac:dyDescent="0.3">
      <c r="A89" s="54" t="s">
        <v>173</v>
      </c>
      <c r="B89" s="14" t="str">
        <f>_xlfn.XLOOKUP(EmployeeAttendance[[#This Row],[Employee ID]],EmployeeMaster[Employee ID],EmployeeMaster[Employee Name],"Invalid Employee ID")</f>
        <v>Karim</v>
      </c>
      <c r="C89" s="14" t="str">
        <f>_xlfn.XLOOKUP(EmployeeAttendance[[#This Row],[Employee ID]],EmployeeMaster[Employee ID],EmployeeMaster[Department],"Invalid Employee ID")</f>
        <v>HR</v>
      </c>
      <c r="D89" s="60">
        <f>_xlfn.XLOOKUP(EmployeeAttendance[[#This Row],[Employee ID]],EmployeeMaster[Employee ID],EmployeeMaster[Salary],"Invalid Employee ID",0,-1)</f>
        <v>86625</v>
      </c>
    </row>
    <row r="90" spans="1:4" x14ac:dyDescent="0.3">
      <c r="A90" s="54" t="s">
        <v>178</v>
      </c>
      <c r="B90" s="14" t="str">
        <f>_xlfn.XLOOKUP(EmployeeAttendance[[#This Row],[Employee ID]],EmployeeMaster[Employee ID],EmployeeMaster[Employee Name],"Invalid Employee ID")</f>
        <v>Karim</v>
      </c>
      <c r="C90" s="14" t="str">
        <f>_xlfn.XLOOKUP(EmployeeAttendance[[#This Row],[Employee ID]],EmployeeMaster[Employee ID],EmployeeMaster[Department],"Invalid Employee ID")</f>
        <v>Accounts</v>
      </c>
      <c r="D90" s="60">
        <f>_xlfn.XLOOKUP(EmployeeAttendance[[#This Row],[Employee ID]],EmployeeMaster[Employee ID],EmployeeMaster[Salary],"Invalid Employee ID",0,-1)</f>
        <v>36748</v>
      </c>
    </row>
    <row r="91" spans="1:4" x14ac:dyDescent="0.3">
      <c r="A91" s="54" t="s">
        <v>162</v>
      </c>
      <c r="B91" s="14" t="str">
        <f>_xlfn.XLOOKUP(EmployeeAttendance[[#This Row],[Employee ID]],EmployeeMaster[Employee ID],EmployeeMaster[Employee Name],"Invalid Employee ID")</f>
        <v>Sadia</v>
      </c>
      <c r="C91" s="14" t="str">
        <f>_xlfn.XLOOKUP(EmployeeAttendance[[#This Row],[Employee ID]],EmployeeMaster[Employee ID],EmployeeMaster[Department],"Invalid Employee ID")</f>
        <v>Sales</v>
      </c>
      <c r="D91" s="60">
        <f>_xlfn.XLOOKUP(EmployeeAttendance[[#This Row],[Employee ID]],EmployeeMaster[Employee ID],EmployeeMaster[Salary],"Invalid Employee ID",0,-1)</f>
        <v>78976</v>
      </c>
    </row>
    <row r="92" spans="1:4" x14ac:dyDescent="0.3">
      <c r="A92" s="54" t="s">
        <v>158</v>
      </c>
      <c r="B92" s="14" t="str">
        <f>_xlfn.XLOOKUP(EmployeeAttendance[[#This Row],[Employee ID]],EmployeeMaster[Employee ID],EmployeeMaster[Employee Name],"Invalid Employee ID")</f>
        <v>Karim</v>
      </c>
      <c r="C92" s="14" t="str">
        <f>_xlfn.XLOOKUP(EmployeeAttendance[[#This Row],[Employee ID]],EmployeeMaster[Employee ID],EmployeeMaster[Department],"Invalid Employee ID")</f>
        <v>HR</v>
      </c>
      <c r="D92" s="60">
        <f>_xlfn.XLOOKUP(EmployeeAttendance[[#This Row],[Employee ID]],EmployeeMaster[Employee ID],EmployeeMaster[Salary],"Invalid Employee ID",0,-1)</f>
        <v>78476</v>
      </c>
    </row>
    <row r="93" spans="1:4" x14ac:dyDescent="0.3">
      <c r="A93" s="54" t="s">
        <v>162</v>
      </c>
      <c r="B93" s="14" t="str">
        <f>_xlfn.XLOOKUP(EmployeeAttendance[[#This Row],[Employee ID]],EmployeeMaster[Employee ID],EmployeeMaster[Employee Name],"Invalid Employee ID")</f>
        <v>Sadia</v>
      </c>
      <c r="C93" s="14" t="str">
        <f>_xlfn.XLOOKUP(EmployeeAttendance[[#This Row],[Employee ID]],EmployeeMaster[Employee ID],EmployeeMaster[Department],"Invalid Employee ID")</f>
        <v>Sales</v>
      </c>
      <c r="D93" s="60">
        <f>_xlfn.XLOOKUP(EmployeeAttendance[[#This Row],[Employee ID]],EmployeeMaster[Employee ID],EmployeeMaster[Salary],"Invalid Employee ID",0,-1)</f>
        <v>78976</v>
      </c>
    </row>
    <row r="94" spans="1:4" x14ac:dyDescent="0.3">
      <c r="A94" s="54" t="s">
        <v>181</v>
      </c>
      <c r="B94" s="14" t="str">
        <f>_xlfn.XLOOKUP(EmployeeAttendance[[#This Row],[Employee ID]],EmployeeMaster[Employee ID],EmployeeMaster[Employee Name],"Invalid Employee ID")</f>
        <v>Karim</v>
      </c>
      <c r="C94" s="14" t="str">
        <f>_xlfn.XLOOKUP(EmployeeAttendance[[#This Row],[Employee ID]],EmployeeMaster[Employee ID],EmployeeMaster[Department],"Invalid Employee ID")</f>
        <v>Accounts</v>
      </c>
      <c r="D94" s="60">
        <f>_xlfn.XLOOKUP(EmployeeAttendance[[#This Row],[Employee ID]],EmployeeMaster[Employee ID],EmployeeMaster[Salary],"Invalid Employee ID",0,-1)</f>
        <v>44297</v>
      </c>
    </row>
    <row r="95" spans="1:4" x14ac:dyDescent="0.3">
      <c r="A95" s="54" t="s">
        <v>175</v>
      </c>
      <c r="B95" s="14" t="str">
        <f>_xlfn.XLOOKUP(EmployeeAttendance[[#This Row],[Employee ID]],EmployeeMaster[Employee ID],EmployeeMaster[Employee Name],"Invalid Employee ID")</f>
        <v>Rifat</v>
      </c>
      <c r="C95" s="14" t="str">
        <f>_xlfn.XLOOKUP(EmployeeAttendance[[#This Row],[Employee ID]],EmployeeMaster[Employee ID],EmployeeMaster[Department],"Invalid Employee ID")</f>
        <v>Accounts</v>
      </c>
      <c r="D95" s="60">
        <f>_xlfn.XLOOKUP(EmployeeAttendance[[#This Row],[Employee ID]],EmployeeMaster[Employee ID],EmployeeMaster[Salary],"Invalid Employee ID",0,-1)</f>
        <v>79122</v>
      </c>
    </row>
    <row r="96" spans="1:4" x14ac:dyDescent="0.3">
      <c r="A96" s="54" t="s">
        <v>176</v>
      </c>
      <c r="B96" s="14" t="str">
        <f>_xlfn.XLOOKUP(EmployeeAttendance[[#This Row],[Employee ID]],EmployeeMaster[Employee ID],EmployeeMaster[Employee Name],"Invalid Employee ID")</f>
        <v>Rifat</v>
      </c>
      <c r="C96" s="14" t="str">
        <f>_xlfn.XLOOKUP(EmployeeAttendance[[#This Row],[Employee ID]],EmployeeMaster[Employee ID],EmployeeMaster[Department],"Invalid Employee ID")</f>
        <v>Accounts</v>
      </c>
      <c r="D96" s="60">
        <f>_xlfn.XLOOKUP(EmployeeAttendance[[#This Row],[Employee ID]],EmployeeMaster[Employee ID],EmployeeMaster[Salary],"Invalid Employee ID",0,-1)</f>
        <v>30083</v>
      </c>
    </row>
    <row r="97" spans="1:4" x14ac:dyDescent="0.3">
      <c r="A97" s="54" t="s">
        <v>180</v>
      </c>
      <c r="B97" s="14" t="str">
        <f>_xlfn.XLOOKUP(EmployeeAttendance[[#This Row],[Employee ID]],EmployeeMaster[Employee ID],EmployeeMaster[Employee Name],"Invalid Employee ID")</f>
        <v>Tania</v>
      </c>
      <c r="C97" s="14" t="str">
        <f>_xlfn.XLOOKUP(EmployeeAttendance[[#This Row],[Employee ID]],EmployeeMaster[Employee ID],EmployeeMaster[Department],"Invalid Employee ID")</f>
        <v>Sales</v>
      </c>
      <c r="D97" s="60">
        <f>_xlfn.XLOOKUP(EmployeeAttendance[[#This Row],[Employee ID]],EmployeeMaster[Employee ID],EmployeeMaster[Salary],"Invalid Employee ID",0,-1)</f>
        <v>36555</v>
      </c>
    </row>
    <row r="98" spans="1:4" x14ac:dyDescent="0.3">
      <c r="A98" s="54" t="s">
        <v>155</v>
      </c>
      <c r="B98" s="14" t="str">
        <f>_xlfn.XLOOKUP(EmployeeAttendance[[#This Row],[Employee ID]],EmployeeMaster[Employee ID],EmployeeMaster[Employee Name],"Invalid Employee ID")</f>
        <v>Jui</v>
      </c>
      <c r="C98" s="14" t="str">
        <f>_xlfn.XLOOKUP(EmployeeAttendance[[#This Row],[Employee ID]],EmployeeMaster[Employee ID],EmployeeMaster[Department],"Invalid Employee ID")</f>
        <v>HR</v>
      </c>
      <c r="D98" s="60">
        <f>_xlfn.XLOOKUP(EmployeeAttendance[[#This Row],[Employee ID]],EmployeeMaster[Employee ID],EmployeeMaster[Salary],"Invalid Employee ID",0,-1)</f>
        <v>35826</v>
      </c>
    </row>
    <row r="99" spans="1:4" x14ac:dyDescent="0.3">
      <c r="A99" s="54" t="s">
        <v>181</v>
      </c>
      <c r="B99" s="14" t="str">
        <f>_xlfn.XLOOKUP(EmployeeAttendance[[#This Row],[Employee ID]],EmployeeMaster[Employee ID],EmployeeMaster[Employee Name],"Invalid Employee ID")</f>
        <v>Karim</v>
      </c>
      <c r="C99" s="14" t="str">
        <f>_xlfn.XLOOKUP(EmployeeAttendance[[#This Row],[Employee ID]],EmployeeMaster[Employee ID],EmployeeMaster[Department],"Invalid Employee ID")</f>
        <v>Accounts</v>
      </c>
      <c r="D99" s="60">
        <f>_xlfn.XLOOKUP(EmployeeAttendance[[#This Row],[Employee ID]],EmployeeMaster[Employee ID],EmployeeMaster[Salary],"Invalid Employee ID",0,-1)</f>
        <v>44297</v>
      </c>
    </row>
    <row r="100" spans="1:4" x14ac:dyDescent="0.3">
      <c r="A100" s="54" t="s">
        <v>171</v>
      </c>
      <c r="B100" s="14" t="str">
        <f>_xlfn.XLOOKUP(EmployeeAttendance[[#This Row],[Employee ID]],EmployeeMaster[Employee ID],EmployeeMaster[Employee Name],"Invalid Employee ID")</f>
        <v>Tania</v>
      </c>
      <c r="C100" s="14" t="str">
        <f>_xlfn.XLOOKUP(EmployeeAttendance[[#This Row],[Employee ID]],EmployeeMaster[Employee ID],EmployeeMaster[Department],"Invalid Employee ID")</f>
        <v>HR</v>
      </c>
      <c r="D100" s="60">
        <f>_xlfn.XLOOKUP(EmployeeAttendance[[#This Row],[Employee ID]],EmployeeMaster[Employee ID],EmployeeMaster[Salary],"Invalid Employee ID",0,-1)</f>
        <v>42536</v>
      </c>
    </row>
    <row r="101" spans="1:4" x14ac:dyDescent="0.3">
      <c r="A101" s="54" t="s">
        <v>166</v>
      </c>
      <c r="B101" s="14" t="str">
        <f>_xlfn.XLOOKUP(EmployeeAttendance[[#This Row],[Employee ID]],EmployeeMaster[Employee ID],EmployeeMaster[Employee Name],"Invalid Employee ID")</f>
        <v>Sadia</v>
      </c>
      <c r="C101" s="14" t="str">
        <f>_xlfn.XLOOKUP(EmployeeAttendance[[#This Row],[Employee ID]],EmployeeMaster[Employee ID],EmployeeMaster[Department],"Invalid Employee ID")</f>
        <v>Sales</v>
      </c>
      <c r="D101" s="60">
        <f>_xlfn.XLOOKUP(EmployeeAttendance[[#This Row],[Employee ID]],EmployeeMaster[Employee ID],EmployeeMaster[Salary],"Invalid Employee ID",0,-1)</f>
        <v>45834</v>
      </c>
    </row>
    <row r="102" spans="1:4" x14ac:dyDescent="0.3">
      <c r="A102" s="54" t="s">
        <v>173</v>
      </c>
      <c r="B102" s="14" t="str">
        <f>_xlfn.XLOOKUP(EmployeeAttendance[[#This Row],[Employee ID]],EmployeeMaster[Employee ID],EmployeeMaster[Employee Name],"Invalid Employee ID")</f>
        <v>Karim</v>
      </c>
      <c r="C102" s="14" t="str">
        <f>_xlfn.XLOOKUP(EmployeeAttendance[[#This Row],[Employee ID]],EmployeeMaster[Employee ID],EmployeeMaster[Department],"Invalid Employee ID")</f>
        <v>HR</v>
      </c>
      <c r="D102" s="60">
        <f>_xlfn.XLOOKUP(EmployeeAttendance[[#This Row],[Employee ID]],EmployeeMaster[Employee ID],EmployeeMaster[Salary],"Invalid Employee ID",0,-1)</f>
        <v>86625</v>
      </c>
    </row>
    <row r="103" spans="1:4" x14ac:dyDescent="0.3">
      <c r="A103" s="54" t="s">
        <v>161</v>
      </c>
      <c r="B103" s="14" t="str">
        <f>_xlfn.XLOOKUP(EmployeeAttendance[[#This Row],[Employee ID]],EmployeeMaster[Employee ID],EmployeeMaster[Employee Name],"Invalid Employee ID")</f>
        <v>Nadia</v>
      </c>
      <c r="C103" s="14" t="str">
        <f>_xlfn.XLOOKUP(EmployeeAttendance[[#This Row],[Employee ID]],EmployeeMaster[Employee ID],EmployeeMaster[Department],"Invalid Employee ID")</f>
        <v>IT</v>
      </c>
      <c r="D103" s="60">
        <f>_xlfn.XLOOKUP(EmployeeAttendance[[#This Row],[Employee ID]],EmployeeMaster[Employee ID],EmployeeMaster[Salary],"Invalid Employee ID",0,-1)</f>
        <v>72444</v>
      </c>
    </row>
    <row r="104" spans="1:4" x14ac:dyDescent="0.3">
      <c r="A104" s="54" t="s">
        <v>169</v>
      </c>
      <c r="B104" s="14" t="str">
        <f>_xlfn.XLOOKUP(EmployeeAttendance[[#This Row],[Employee ID]],EmployeeMaster[Employee ID],EmployeeMaster[Employee Name],"Invalid Employee ID")</f>
        <v>Rima</v>
      </c>
      <c r="C104" s="14" t="str">
        <f>_xlfn.XLOOKUP(EmployeeAttendance[[#This Row],[Employee ID]],EmployeeMaster[Employee ID],EmployeeMaster[Department],"Invalid Employee ID")</f>
        <v>Sales</v>
      </c>
      <c r="D104" s="60">
        <f>_xlfn.XLOOKUP(EmployeeAttendance[[#This Row],[Employee ID]],EmployeeMaster[Employee ID],EmployeeMaster[Salary],"Invalid Employee ID",0,-1)</f>
        <v>31666</v>
      </c>
    </row>
    <row r="105" spans="1:4" x14ac:dyDescent="0.3">
      <c r="A105" s="54" t="s">
        <v>176</v>
      </c>
      <c r="B105" s="14" t="str">
        <f>_xlfn.XLOOKUP(EmployeeAttendance[[#This Row],[Employee ID]],EmployeeMaster[Employee ID],EmployeeMaster[Employee Name],"Invalid Employee ID")</f>
        <v>Rifat</v>
      </c>
      <c r="C105" s="14" t="str">
        <f>_xlfn.XLOOKUP(EmployeeAttendance[[#This Row],[Employee ID]],EmployeeMaster[Employee ID],EmployeeMaster[Department],"Invalid Employee ID")</f>
        <v>Accounts</v>
      </c>
      <c r="D105" s="60">
        <f>_xlfn.XLOOKUP(EmployeeAttendance[[#This Row],[Employee ID]],EmployeeMaster[Employee ID],EmployeeMaster[Salary],"Invalid Employee ID",0,-1)</f>
        <v>30083</v>
      </c>
    </row>
    <row r="106" spans="1:4" x14ac:dyDescent="0.3">
      <c r="A106" s="54" t="s">
        <v>173</v>
      </c>
      <c r="B106" s="14" t="str">
        <f>_xlfn.XLOOKUP(EmployeeAttendance[[#This Row],[Employee ID]],EmployeeMaster[Employee ID],EmployeeMaster[Employee Name],"Invalid Employee ID")</f>
        <v>Karim</v>
      </c>
      <c r="C106" s="14" t="str">
        <f>_xlfn.XLOOKUP(EmployeeAttendance[[#This Row],[Employee ID]],EmployeeMaster[Employee ID],EmployeeMaster[Department],"Invalid Employee ID")</f>
        <v>HR</v>
      </c>
      <c r="D106" s="60">
        <f>_xlfn.XLOOKUP(EmployeeAttendance[[#This Row],[Employee ID]],EmployeeMaster[Employee ID],EmployeeMaster[Salary],"Invalid Employee ID",0,-1)</f>
        <v>86625</v>
      </c>
    </row>
    <row r="107" spans="1:4" x14ac:dyDescent="0.3">
      <c r="A107" s="54" t="s">
        <v>156</v>
      </c>
      <c r="B107" s="14" t="str">
        <f>_xlfn.XLOOKUP(EmployeeAttendance[[#This Row],[Employee ID]],EmployeeMaster[Employee ID],EmployeeMaster[Employee Name],"Invalid Employee ID")</f>
        <v>Jui</v>
      </c>
      <c r="C107" s="14" t="str">
        <f>_xlfn.XLOOKUP(EmployeeAttendance[[#This Row],[Employee ID]],EmployeeMaster[Employee ID],EmployeeMaster[Department],"Invalid Employee ID")</f>
        <v>Sales</v>
      </c>
      <c r="D107" s="60">
        <f>_xlfn.XLOOKUP(EmployeeAttendance[[#This Row],[Employee ID]],EmployeeMaster[Employee ID],EmployeeMaster[Salary],"Invalid Employee ID",0,-1)</f>
        <v>48286</v>
      </c>
    </row>
    <row r="108" spans="1:4" x14ac:dyDescent="0.3">
      <c r="A108" s="54" t="s">
        <v>155</v>
      </c>
      <c r="B108" s="14" t="str">
        <f>_xlfn.XLOOKUP(EmployeeAttendance[[#This Row],[Employee ID]],EmployeeMaster[Employee ID],EmployeeMaster[Employee Name],"Invalid Employee ID")</f>
        <v>Jui</v>
      </c>
      <c r="C108" s="14" t="str">
        <f>_xlfn.XLOOKUP(EmployeeAttendance[[#This Row],[Employee ID]],EmployeeMaster[Employee ID],EmployeeMaster[Department],"Invalid Employee ID")</f>
        <v>HR</v>
      </c>
      <c r="D108" s="60">
        <f>_xlfn.XLOOKUP(EmployeeAttendance[[#This Row],[Employee ID]],EmployeeMaster[Employee ID],EmployeeMaster[Salary],"Invalid Employee ID",0,-1)</f>
        <v>35826</v>
      </c>
    </row>
    <row r="109" spans="1:4" x14ac:dyDescent="0.3">
      <c r="A109" s="54" t="s">
        <v>177</v>
      </c>
      <c r="B109" s="14" t="str">
        <f>_xlfn.XLOOKUP(EmployeeAttendance[[#This Row],[Employee ID]],EmployeeMaster[Employee ID],EmployeeMaster[Employee Name],"Invalid Employee ID")</f>
        <v>Tania</v>
      </c>
      <c r="C109" s="14" t="str">
        <f>_xlfn.XLOOKUP(EmployeeAttendance[[#This Row],[Employee ID]],EmployeeMaster[Employee ID],EmployeeMaster[Department],"Invalid Employee ID")</f>
        <v>HR</v>
      </c>
      <c r="D109" s="60">
        <f>_xlfn.XLOOKUP(EmployeeAttendance[[#This Row],[Employee ID]],EmployeeMaster[Employee ID],EmployeeMaster[Salary],"Invalid Employee ID",0,-1)</f>
        <v>47746</v>
      </c>
    </row>
    <row r="110" spans="1:4" x14ac:dyDescent="0.3">
      <c r="A110" s="54" t="s">
        <v>178</v>
      </c>
      <c r="B110" s="14" t="str">
        <f>_xlfn.XLOOKUP(EmployeeAttendance[[#This Row],[Employee ID]],EmployeeMaster[Employee ID],EmployeeMaster[Employee Name],"Invalid Employee ID")</f>
        <v>Karim</v>
      </c>
      <c r="C110" s="14" t="str">
        <f>_xlfn.XLOOKUP(EmployeeAttendance[[#This Row],[Employee ID]],EmployeeMaster[Employee ID],EmployeeMaster[Department],"Invalid Employee ID")</f>
        <v>Accounts</v>
      </c>
      <c r="D110" s="60">
        <f>_xlfn.XLOOKUP(EmployeeAttendance[[#This Row],[Employee ID]],EmployeeMaster[Employee ID],EmployeeMaster[Salary],"Invalid Employee ID",0,-1)</f>
        <v>36748</v>
      </c>
    </row>
    <row r="111" spans="1:4" x14ac:dyDescent="0.3">
      <c r="A111" s="54" t="s">
        <v>170</v>
      </c>
      <c r="B111" s="14" t="str">
        <f>_xlfn.XLOOKUP(EmployeeAttendance[[#This Row],[Employee ID]],EmployeeMaster[Employee ID],EmployeeMaster[Employee Name],"Invalid Employee ID")</f>
        <v>Tania</v>
      </c>
      <c r="C111" s="14" t="str">
        <f>_xlfn.XLOOKUP(EmployeeAttendance[[#This Row],[Employee ID]],EmployeeMaster[Employee ID],EmployeeMaster[Department],"Invalid Employee ID")</f>
        <v>Sales</v>
      </c>
      <c r="D111" s="60">
        <f>_xlfn.XLOOKUP(EmployeeAttendance[[#This Row],[Employee ID]],EmployeeMaster[Employee ID],EmployeeMaster[Salary],"Invalid Employee ID",0,-1)</f>
        <v>53250</v>
      </c>
    </row>
    <row r="112" spans="1:4" x14ac:dyDescent="0.3">
      <c r="A112" s="54" t="s">
        <v>160</v>
      </c>
      <c r="B112" s="14" t="str">
        <f>_xlfn.XLOOKUP(EmployeeAttendance[[#This Row],[Employee ID]],EmployeeMaster[Employee ID],EmployeeMaster[Employee Name],"Invalid Employee ID")</f>
        <v>Rifat</v>
      </c>
      <c r="C112" s="14" t="str">
        <f>_xlfn.XLOOKUP(EmployeeAttendance[[#This Row],[Employee ID]],EmployeeMaster[Employee ID],EmployeeMaster[Department],"Invalid Employee ID")</f>
        <v>HR</v>
      </c>
      <c r="D112" s="60">
        <f>_xlfn.XLOOKUP(EmployeeAttendance[[#This Row],[Employee ID]],EmployeeMaster[Employee ID],EmployeeMaster[Salary],"Invalid Employee ID",0,-1)</f>
        <v>70000</v>
      </c>
    </row>
    <row r="113" spans="1:4" x14ac:dyDescent="0.3">
      <c r="A113" s="54" t="s">
        <v>176</v>
      </c>
      <c r="B113" s="14" t="str">
        <f>_xlfn.XLOOKUP(EmployeeAttendance[[#This Row],[Employee ID]],EmployeeMaster[Employee ID],EmployeeMaster[Employee Name],"Invalid Employee ID")</f>
        <v>Rifat</v>
      </c>
      <c r="C113" s="14" t="str">
        <f>_xlfn.XLOOKUP(EmployeeAttendance[[#This Row],[Employee ID]],EmployeeMaster[Employee ID],EmployeeMaster[Department],"Invalid Employee ID")</f>
        <v>Accounts</v>
      </c>
      <c r="D113" s="60">
        <f>_xlfn.XLOOKUP(EmployeeAttendance[[#This Row],[Employee ID]],EmployeeMaster[Employee ID],EmployeeMaster[Salary],"Invalid Employee ID",0,-1)</f>
        <v>30083</v>
      </c>
    </row>
    <row r="114" spans="1:4" x14ac:dyDescent="0.3">
      <c r="A114" s="54" t="s">
        <v>154</v>
      </c>
      <c r="B114" s="14" t="str">
        <f>_xlfn.XLOOKUP(EmployeeAttendance[[#This Row],[Employee ID]],EmployeeMaster[Employee ID],EmployeeMaster[Employee Name],"Invalid Employee ID")</f>
        <v>Jui</v>
      </c>
      <c r="C114" s="14" t="str">
        <f>_xlfn.XLOOKUP(EmployeeAttendance[[#This Row],[Employee ID]],EmployeeMaster[Employee ID],EmployeeMaster[Department],"Invalid Employee ID")</f>
        <v>Sales</v>
      </c>
      <c r="D114" s="60">
        <f>_xlfn.XLOOKUP(EmployeeAttendance[[#This Row],[Employee ID]],EmployeeMaster[Employee ID],EmployeeMaster[Salary],"Invalid Employee ID",0,-1)</f>
        <v>90000</v>
      </c>
    </row>
    <row r="115" spans="1:4" x14ac:dyDescent="0.3">
      <c r="A115" s="54" t="s">
        <v>174</v>
      </c>
      <c r="B115" s="14" t="str">
        <f>_xlfn.XLOOKUP(EmployeeAttendance[[#This Row],[Employee ID]],EmployeeMaster[Employee ID],EmployeeMaster[Employee Name],"Invalid Employee ID")</f>
        <v>Rima</v>
      </c>
      <c r="C115" s="14" t="str">
        <f>_xlfn.XLOOKUP(EmployeeAttendance[[#This Row],[Employee ID]],EmployeeMaster[Employee ID],EmployeeMaster[Department],"Invalid Employee ID")</f>
        <v>IT</v>
      </c>
      <c r="D115" s="60">
        <f>_xlfn.XLOOKUP(EmployeeAttendance[[#This Row],[Employee ID]],EmployeeMaster[Employee ID],EmployeeMaster[Salary],"Invalid Employee ID",0,-1)</f>
        <v>45375</v>
      </c>
    </row>
    <row r="116" spans="1:4" x14ac:dyDescent="0.3">
      <c r="A116" s="54" t="s">
        <v>158</v>
      </c>
      <c r="B116" s="14" t="str">
        <f>_xlfn.XLOOKUP(EmployeeAttendance[[#This Row],[Employee ID]],EmployeeMaster[Employee ID],EmployeeMaster[Employee Name],"Invalid Employee ID")</f>
        <v>Karim</v>
      </c>
      <c r="C116" s="14" t="str">
        <f>_xlfn.XLOOKUP(EmployeeAttendance[[#This Row],[Employee ID]],EmployeeMaster[Employee ID],EmployeeMaster[Department],"Invalid Employee ID")</f>
        <v>HR</v>
      </c>
      <c r="D116" s="60">
        <f>_xlfn.XLOOKUP(EmployeeAttendance[[#This Row],[Employee ID]],EmployeeMaster[Employee ID],EmployeeMaster[Salary],"Invalid Employee ID",0,-1)</f>
        <v>78476</v>
      </c>
    </row>
    <row r="117" spans="1:4" x14ac:dyDescent="0.3">
      <c r="A117" s="54" t="s">
        <v>156</v>
      </c>
      <c r="B117" s="14" t="str">
        <f>_xlfn.XLOOKUP(EmployeeAttendance[[#This Row],[Employee ID]],EmployeeMaster[Employee ID],EmployeeMaster[Employee Name],"Invalid Employee ID")</f>
        <v>Jui</v>
      </c>
      <c r="C117" s="14" t="str">
        <f>_xlfn.XLOOKUP(EmployeeAttendance[[#This Row],[Employee ID]],EmployeeMaster[Employee ID],EmployeeMaster[Department],"Invalid Employee ID")</f>
        <v>Sales</v>
      </c>
      <c r="D117" s="60">
        <f>_xlfn.XLOOKUP(EmployeeAttendance[[#This Row],[Employee ID]],EmployeeMaster[Employee ID],EmployeeMaster[Salary],"Invalid Employee ID",0,-1)</f>
        <v>48286</v>
      </c>
    </row>
    <row r="118" spans="1:4" x14ac:dyDescent="0.3">
      <c r="A118" s="54" t="s">
        <v>179</v>
      </c>
      <c r="B118" s="14" t="str">
        <f>_xlfn.XLOOKUP(EmployeeAttendance[[#This Row],[Employee ID]],EmployeeMaster[Employee ID],EmployeeMaster[Employee Name],"Invalid Employee ID")</f>
        <v>Nadia</v>
      </c>
      <c r="C118" s="14" t="str">
        <f>_xlfn.XLOOKUP(EmployeeAttendance[[#This Row],[Employee ID]],EmployeeMaster[Employee ID],EmployeeMaster[Department],"Invalid Employee ID")</f>
        <v>HR</v>
      </c>
      <c r="D118" s="60">
        <f>_xlfn.XLOOKUP(EmployeeAttendance[[#This Row],[Employee ID]],EmployeeMaster[Employee ID],EmployeeMaster[Salary],"Invalid Employee ID",0,-1)</f>
        <v>40644</v>
      </c>
    </row>
    <row r="119" spans="1:4" x14ac:dyDescent="0.3">
      <c r="A119" s="54" t="s">
        <v>176</v>
      </c>
      <c r="B119" s="14" t="str">
        <f>_xlfn.XLOOKUP(EmployeeAttendance[[#This Row],[Employee ID]],EmployeeMaster[Employee ID],EmployeeMaster[Employee Name],"Invalid Employee ID")</f>
        <v>Rifat</v>
      </c>
      <c r="C119" s="14" t="str">
        <f>_xlfn.XLOOKUP(EmployeeAttendance[[#This Row],[Employee ID]],EmployeeMaster[Employee ID],EmployeeMaster[Department],"Invalid Employee ID")</f>
        <v>Accounts</v>
      </c>
      <c r="D119" s="60">
        <f>_xlfn.XLOOKUP(EmployeeAttendance[[#This Row],[Employee ID]],EmployeeMaster[Employee ID],EmployeeMaster[Salary],"Invalid Employee ID",0,-1)</f>
        <v>30083</v>
      </c>
    </row>
    <row r="120" spans="1:4" x14ac:dyDescent="0.3">
      <c r="A120" s="54" t="s">
        <v>176</v>
      </c>
      <c r="B120" s="14" t="str">
        <f>_xlfn.XLOOKUP(EmployeeAttendance[[#This Row],[Employee ID]],EmployeeMaster[Employee ID],EmployeeMaster[Employee Name],"Invalid Employee ID")</f>
        <v>Rifat</v>
      </c>
      <c r="C120" s="14" t="str">
        <f>_xlfn.XLOOKUP(EmployeeAttendance[[#This Row],[Employee ID]],EmployeeMaster[Employee ID],EmployeeMaster[Department],"Invalid Employee ID")</f>
        <v>Accounts</v>
      </c>
      <c r="D120" s="60">
        <f>_xlfn.XLOOKUP(EmployeeAttendance[[#This Row],[Employee ID]],EmployeeMaster[Employee ID],EmployeeMaster[Salary],"Invalid Employee ID",0,-1)</f>
        <v>30083</v>
      </c>
    </row>
    <row r="121" spans="1:4" x14ac:dyDescent="0.3">
      <c r="A121" s="54" t="s">
        <v>160</v>
      </c>
      <c r="B121" s="14" t="str">
        <f>_xlfn.XLOOKUP(EmployeeAttendance[[#This Row],[Employee ID]],EmployeeMaster[Employee ID],EmployeeMaster[Employee Name],"Invalid Employee ID")</f>
        <v>Rifat</v>
      </c>
      <c r="C121" s="14" t="str">
        <f>_xlfn.XLOOKUP(EmployeeAttendance[[#This Row],[Employee ID]],EmployeeMaster[Employee ID],EmployeeMaster[Department],"Invalid Employee ID")</f>
        <v>HR</v>
      </c>
      <c r="D121" s="60">
        <f>_xlfn.XLOOKUP(EmployeeAttendance[[#This Row],[Employee ID]],EmployeeMaster[Employee ID],EmployeeMaster[Salary],"Invalid Employee ID",0,-1)</f>
        <v>70000</v>
      </c>
    </row>
    <row r="122" spans="1:4" x14ac:dyDescent="0.3">
      <c r="A122" s="54" t="s">
        <v>158</v>
      </c>
      <c r="B122" s="14" t="str">
        <f>_xlfn.XLOOKUP(EmployeeAttendance[[#This Row],[Employee ID]],EmployeeMaster[Employee ID],EmployeeMaster[Employee Name],"Invalid Employee ID")</f>
        <v>Karim</v>
      </c>
      <c r="C122" s="14" t="str">
        <f>_xlfn.XLOOKUP(EmployeeAttendance[[#This Row],[Employee ID]],EmployeeMaster[Employee ID],EmployeeMaster[Department],"Invalid Employee ID")</f>
        <v>HR</v>
      </c>
      <c r="D122" s="60">
        <f>_xlfn.XLOOKUP(EmployeeAttendance[[#This Row],[Employee ID]],EmployeeMaster[Employee ID],EmployeeMaster[Salary],"Invalid Employee ID",0,-1)</f>
        <v>78476</v>
      </c>
    </row>
    <row r="123" spans="1:4" x14ac:dyDescent="0.3">
      <c r="A123" s="54" t="s">
        <v>169</v>
      </c>
      <c r="B123" s="14" t="str">
        <f>_xlfn.XLOOKUP(EmployeeAttendance[[#This Row],[Employee ID]],EmployeeMaster[Employee ID],EmployeeMaster[Employee Name],"Invalid Employee ID")</f>
        <v>Rima</v>
      </c>
      <c r="C123" s="14" t="str">
        <f>_xlfn.XLOOKUP(EmployeeAttendance[[#This Row],[Employee ID]],EmployeeMaster[Employee ID],EmployeeMaster[Department],"Invalid Employee ID")</f>
        <v>Sales</v>
      </c>
      <c r="D123" s="60">
        <f>_xlfn.XLOOKUP(EmployeeAttendance[[#This Row],[Employee ID]],EmployeeMaster[Employee ID],EmployeeMaster[Salary],"Invalid Employee ID",0,-1)</f>
        <v>31666</v>
      </c>
    </row>
    <row r="124" spans="1:4" x14ac:dyDescent="0.3">
      <c r="A124" s="54" t="s">
        <v>167</v>
      </c>
      <c r="B124" s="14" t="str">
        <f>_xlfn.XLOOKUP(EmployeeAttendance[[#This Row],[Employee ID]],EmployeeMaster[Employee ID],EmployeeMaster[Employee Name],"Invalid Employee ID")</f>
        <v>Nabila</v>
      </c>
      <c r="C124" s="14" t="str">
        <f>_xlfn.XLOOKUP(EmployeeAttendance[[#This Row],[Employee ID]],EmployeeMaster[Employee ID],EmployeeMaster[Department],"Invalid Employee ID")</f>
        <v>HR</v>
      </c>
      <c r="D124" s="60">
        <f>_xlfn.XLOOKUP(EmployeeAttendance[[#This Row],[Employee ID]],EmployeeMaster[Employee ID],EmployeeMaster[Salary],"Invalid Employee ID",0,-1)</f>
        <v>80000</v>
      </c>
    </row>
    <row r="125" spans="1:4" x14ac:dyDescent="0.3">
      <c r="A125" s="54" t="s">
        <v>168</v>
      </c>
      <c r="B125" s="14" t="str">
        <f>_xlfn.XLOOKUP(EmployeeAttendance[[#This Row],[Employee ID]],EmployeeMaster[Employee ID],EmployeeMaster[Employee Name],"Invalid Employee ID")</f>
        <v>Tania</v>
      </c>
      <c r="C125" s="14" t="str">
        <f>_xlfn.XLOOKUP(EmployeeAttendance[[#This Row],[Employee ID]],EmployeeMaster[Employee ID],EmployeeMaster[Department],"Invalid Employee ID")</f>
        <v>Sales</v>
      </c>
      <c r="D125" s="60">
        <f>_xlfn.XLOOKUP(EmployeeAttendance[[#This Row],[Employee ID]],EmployeeMaster[Employee ID],EmployeeMaster[Salary],"Invalid Employee ID",0,-1)</f>
        <v>69579</v>
      </c>
    </row>
    <row r="126" spans="1:4" x14ac:dyDescent="0.3">
      <c r="A126" s="54" t="s">
        <v>171</v>
      </c>
      <c r="B126" s="14" t="str">
        <f>_xlfn.XLOOKUP(EmployeeAttendance[[#This Row],[Employee ID]],EmployeeMaster[Employee ID],EmployeeMaster[Employee Name],"Invalid Employee ID")</f>
        <v>Tania</v>
      </c>
      <c r="C126" s="14" t="str">
        <f>_xlfn.XLOOKUP(EmployeeAttendance[[#This Row],[Employee ID]],EmployeeMaster[Employee ID],EmployeeMaster[Department],"Invalid Employee ID")</f>
        <v>HR</v>
      </c>
      <c r="D126" s="60">
        <f>_xlfn.XLOOKUP(EmployeeAttendance[[#This Row],[Employee ID]],EmployeeMaster[Employee ID],EmployeeMaster[Salary],"Invalid Employee ID",0,-1)</f>
        <v>42536</v>
      </c>
    </row>
    <row r="127" spans="1:4" x14ac:dyDescent="0.3">
      <c r="A127" s="54" t="s">
        <v>159</v>
      </c>
      <c r="B127" s="14" t="str">
        <f>_xlfn.XLOOKUP(EmployeeAttendance[[#This Row],[Employee ID]],EmployeeMaster[Employee ID],EmployeeMaster[Employee Name],"Invalid Employee ID")</f>
        <v>Sohan</v>
      </c>
      <c r="C127" s="14" t="str">
        <f>_xlfn.XLOOKUP(EmployeeAttendance[[#This Row],[Employee ID]],EmployeeMaster[Employee ID],EmployeeMaster[Department],"Invalid Employee ID")</f>
        <v>IT</v>
      </c>
      <c r="D127" s="60">
        <f>_xlfn.XLOOKUP(EmployeeAttendance[[#This Row],[Employee ID]],EmployeeMaster[Employee ID],EmployeeMaster[Salary],"Invalid Employee ID",0,-1)</f>
        <v>60818</v>
      </c>
    </row>
    <row r="128" spans="1:4" x14ac:dyDescent="0.3">
      <c r="A128" s="54" t="s">
        <v>174</v>
      </c>
      <c r="B128" s="14" t="str">
        <f>_xlfn.XLOOKUP(EmployeeAttendance[[#This Row],[Employee ID]],EmployeeMaster[Employee ID],EmployeeMaster[Employee Name],"Invalid Employee ID")</f>
        <v>Rima</v>
      </c>
      <c r="C128" s="14" t="str">
        <f>_xlfn.XLOOKUP(EmployeeAttendance[[#This Row],[Employee ID]],EmployeeMaster[Employee ID],EmployeeMaster[Department],"Invalid Employee ID")</f>
        <v>IT</v>
      </c>
      <c r="D128" s="60">
        <f>_xlfn.XLOOKUP(EmployeeAttendance[[#This Row],[Employee ID]],EmployeeMaster[Employee ID],EmployeeMaster[Salary],"Invalid Employee ID",0,-1)</f>
        <v>45375</v>
      </c>
    </row>
    <row r="129" spans="1:4" x14ac:dyDescent="0.3">
      <c r="A129" s="54" t="s">
        <v>157</v>
      </c>
      <c r="B129" s="14" t="str">
        <f>_xlfn.XLOOKUP(EmployeeAttendance[[#This Row],[Employee ID]],EmployeeMaster[Employee ID],EmployeeMaster[Employee Name],"Invalid Employee ID")</f>
        <v>Karim</v>
      </c>
      <c r="C129" s="14" t="str">
        <f>_xlfn.XLOOKUP(EmployeeAttendance[[#This Row],[Employee ID]],EmployeeMaster[Employee ID],EmployeeMaster[Department],"Invalid Employee ID")</f>
        <v>HR</v>
      </c>
      <c r="D129" s="60">
        <f>_xlfn.XLOOKUP(EmployeeAttendance[[#This Row],[Employee ID]],EmployeeMaster[Employee ID],EmployeeMaster[Salary],"Invalid Employee ID",0,-1)</f>
        <v>70219</v>
      </c>
    </row>
    <row r="130" spans="1:4" x14ac:dyDescent="0.3">
      <c r="A130" s="54" t="s">
        <v>156</v>
      </c>
      <c r="B130" s="14" t="str">
        <f>_xlfn.XLOOKUP(EmployeeAttendance[[#This Row],[Employee ID]],EmployeeMaster[Employee ID],EmployeeMaster[Employee Name],"Invalid Employee ID")</f>
        <v>Jui</v>
      </c>
      <c r="C130" s="14" t="str">
        <f>_xlfn.XLOOKUP(EmployeeAttendance[[#This Row],[Employee ID]],EmployeeMaster[Employee ID],EmployeeMaster[Department],"Invalid Employee ID")</f>
        <v>Sales</v>
      </c>
      <c r="D130" s="60">
        <f>_xlfn.XLOOKUP(EmployeeAttendance[[#This Row],[Employee ID]],EmployeeMaster[Employee ID],EmployeeMaster[Salary],"Invalid Employee ID",0,-1)</f>
        <v>48286</v>
      </c>
    </row>
    <row r="131" spans="1:4" x14ac:dyDescent="0.3">
      <c r="A131" s="54" t="s">
        <v>172</v>
      </c>
      <c r="B131" s="14" t="str">
        <f>_xlfn.XLOOKUP(EmployeeAttendance[[#This Row],[Employee ID]],EmployeeMaster[Employee ID],EmployeeMaster[Employee Name],"Invalid Employee ID")</f>
        <v>Rima</v>
      </c>
      <c r="C131" s="14" t="str">
        <f>_xlfn.XLOOKUP(EmployeeAttendance[[#This Row],[Employee ID]],EmployeeMaster[Employee ID],EmployeeMaster[Department],"Invalid Employee ID")</f>
        <v>HR</v>
      </c>
      <c r="D131" s="60">
        <f>_xlfn.XLOOKUP(EmployeeAttendance[[#This Row],[Employee ID]],EmployeeMaster[Employee ID],EmployeeMaster[Salary],"Invalid Employee ID",0,-1)</f>
        <v>84704</v>
      </c>
    </row>
    <row r="132" spans="1:4" x14ac:dyDescent="0.3">
      <c r="A132" s="54" t="s">
        <v>167</v>
      </c>
      <c r="B132" s="14" t="str">
        <f>_xlfn.XLOOKUP(EmployeeAttendance[[#This Row],[Employee ID]],EmployeeMaster[Employee ID],EmployeeMaster[Employee Name],"Invalid Employee ID")</f>
        <v>Nabila</v>
      </c>
      <c r="C132" s="14" t="str">
        <f>_xlfn.XLOOKUP(EmployeeAttendance[[#This Row],[Employee ID]],EmployeeMaster[Employee ID],EmployeeMaster[Department],"Invalid Employee ID")</f>
        <v>HR</v>
      </c>
      <c r="D132" s="60">
        <f>_xlfn.XLOOKUP(EmployeeAttendance[[#This Row],[Employee ID]],EmployeeMaster[Employee ID],EmployeeMaster[Salary],"Invalid Employee ID",0,-1)</f>
        <v>80000</v>
      </c>
    </row>
    <row r="133" spans="1:4" x14ac:dyDescent="0.3">
      <c r="A133" s="54" t="s">
        <v>155</v>
      </c>
      <c r="B133" s="14" t="str">
        <f>_xlfn.XLOOKUP(EmployeeAttendance[[#This Row],[Employee ID]],EmployeeMaster[Employee ID],EmployeeMaster[Employee Name],"Invalid Employee ID")</f>
        <v>Jui</v>
      </c>
      <c r="C133" s="14" t="str">
        <f>_xlfn.XLOOKUP(EmployeeAttendance[[#This Row],[Employee ID]],EmployeeMaster[Employee ID],EmployeeMaster[Department],"Invalid Employee ID")</f>
        <v>HR</v>
      </c>
      <c r="D133" s="60">
        <f>_xlfn.XLOOKUP(EmployeeAttendance[[#This Row],[Employee ID]],EmployeeMaster[Employee ID],EmployeeMaster[Salary],"Invalid Employee ID",0,-1)</f>
        <v>35826</v>
      </c>
    </row>
    <row r="134" spans="1:4" x14ac:dyDescent="0.3">
      <c r="A134" s="54" t="s">
        <v>161</v>
      </c>
      <c r="B134" s="14" t="str">
        <f>_xlfn.XLOOKUP(EmployeeAttendance[[#This Row],[Employee ID]],EmployeeMaster[Employee ID],EmployeeMaster[Employee Name],"Invalid Employee ID")</f>
        <v>Nadia</v>
      </c>
      <c r="C134" s="14" t="str">
        <f>_xlfn.XLOOKUP(EmployeeAttendance[[#This Row],[Employee ID]],EmployeeMaster[Employee ID],EmployeeMaster[Department],"Invalid Employee ID")</f>
        <v>IT</v>
      </c>
      <c r="D134" s="60">
        <f>_xlfn.XLOOKUP(EmployeeAttendance[[#This Row],[Employee ID]],EmployeeMaster[Employee ID],EmployeeMaster[Salary],"Invalid Employee ID",0,-1)</f>
        <v>72444</v>
      </c>
    </row>
    <row r="135" spans="1:4" x14ac:dyDescent="0.3">
      <c r="A135" s="54" t="s">
        <v>175</v>
      </c>
      <c r="B135" s="14" t="str">
        <f>_xlfn.XLOOKUP(EmployeeAttendance[[#This Row],[Employee ID]],EmployeeMaster[Employee ID],EmployeeMaster[Employee Name],"Invalid Employee ID")</f>
        <v>Rifat</v>
      </c>
      <c r="C135" s="14" t="str">
        <f>_xlfn.XLOOKUP(EmployeeAttendance[[#This Row],[Employee ID]],EmployeeMaster[Employee ID],EmployeeMaster[Department],"Invalid Employee ID")</f>
        <v>Accounts</v>
      </c>
      <c r="D135" s="60">
        <f>_xlfn.XLOOKUP(EmployeeAttendance[[#This Row],[Employee ID]],EmployeeMaster[Employee ID],EmployeeMaster[Salary],"Invalid Employee ID",0,-1)</f>
        <v>79122</v>
      </c>
    </row>
    <row r="136" spans="1:4" x14ac:dyDescent="0.3">
      <c r="A136" s="54" t="s">
        <v>170</v>
      </c>
      <c r="B136" s="14" t="str">
        <f>_xlfn.XLOOKUP(EmployeeAttendance[[#This Row],[Employee ID]],EmployeeMaster[Employee ID],EmployeeMaster[Employee Name],"Invalid Employee ID")</f>
        <v>Tania</v>
      </c>
      <c r="C136" s="14" t="str">
        <f>_xlfn.XLOOKUP(EmployeeAttendance[[#This Row],[Employee ID]],EmployeeMaster[Employee ID],EmployeeMaster[Department],"Invalid Employee ID")</f>
        <v>Sales</v>
      </c>
      <c r="D136" s="60">
        <f>_xlfn.XLOOKUP(EmployeeAttendance[[#This Row],[Employee ID]],EmployeeMaster[Employee ID],EmployeeMaster[Salary],"Invalid Employee ID",0,-1)</f>
        <v>53250</v>
      </c>
    </row>
    <row r="137" spans="1:4" x14ac:dyDescent="0.3">
      <c r="A137" s="54" t="s">
        <v>178</v>
      </c>
      <c r="B137" s="14" t="str">
        <f>_xlfn.XLOOKUP(EmployeeAttendance[[#This Row],[Employee ID]],EmployeeMaster[Employee ID],EmployeeMaster[Employee Name],"Invalid Employee ID")</f>
        <v>Karim</v>
      </c>
      <c r="C137" s="14" t="str">
        <f>_xlfn.XLOOKUP(EmployeeAttendance[[#This Row],[Employee ID]],EmployeeMaster[Employee ID],EmployeeMaster[Department],"Invalid Employee ID")</f>
        <v>Accounts</v>
      </c>
      <c r="D137" s="60">
        <f>_xlfn.XLOOKUP(EmployeeAttendance[[#This Row],[Employee ID]],EmployeeMaster[Employee ID],EmployeeMaster[Salary],"Invalid Employee ID",0,-1)</f>
        <v>36748</v>
      </c>
    </row>
    <row r="138" spans="1:4" x14ac:dyDescent="0.3">
      <c r="A138" s="54" t="s">
        <v>172</v>
      </c>
      <c r="B138" s="14" t="str">
        <f>_xlfn.XLOOKUP(EmployeeAttendance[[#This Row],[Employee ID]],EmployeeMaster[Employee ID],EmployeeMaster[Employee Name],"Invalid Employee ID")</f>
        <v>Rima</v>
      </c>
      <c r="C138" s="14" t="str">
        <f>_xlfn.XLOOKUP(EmployeeAttendance[[#This Row],[Employee ID]],EmployeeMaster[Employee ID],EmployeeMaster[Department],"Invalid Employee ID")</f>
        <v>HR</v>
      </c>
      <c r="D138" s="60">
        <f>_xlfn.XLOOKUP(EmployeeAttendance[[#This Row],[Employee ID]],EmployeeMaster[Employee ID],EmployeeMaster[Salary],"Invalid Employee ID",0,-1)</f>
        <v>84704</v>
      </c>
    </row>
    <row r="139" spans="1:4" x14ac:dyDescent="0.3">
      <c r="A139" s="54" t="s">
        <v>167</v>
      </c>
      <c r="B139" s="14" t="str">
        <f>_xlfn.XLOOKUP(EmployeeAttendance[[#This Row],[Employee ID]],EmployeeMaster[Employee ID],EmployeeMaster[Employee Name],"Invalid Employee ID")</f>
        <v>Nabila</v>
      </c>
      <c r="C139" s="14" t="str">
        <f>_xlfn.XLOOKUP(EmployeeAttendance[[#This Row],[Employee ID]],EmployeeMaster[Employee ID],EmployeeMaster[Department],"Invalid Employee ID")</f>
        <v>HR</v>
      </c>
      <c r="D139" s="60">
        <f>_xlfn.XLOOKUP(EmployeeAttendance[[#This Row],[Employee ID]],EmployeeMaster[Employee ID],EmployeeMaster[Salary],"Invalid Employee ID",0,-1)</f>
        <v>80000</v>
      </c>
    </row>
    <row r="140" spans="1:4" x14ac:dyDescent="0.3">
      <c r="A140" s="54" t="s">
        <v>155</v>
      </c>
      <c r="B140" s="14" t="str">
        <f>_xlfn.XLOOKUP(EmployeeAttendance[[#This Row],[Employee ID]],EmployeeMaster[Employee ID],EmployeeMaster[Employee Name],"Invalid Employee ID")</f>
        <v>Jui</v>
      </c>
      <c r="C140" s="14" t="str">
        <f>_xlfn.XLOOKUP(EmployeeAttendance[[#This Row],[Employee ID]],EmployeeMaster[Employee ID],EmployeeMaster[Department],"Invalid Employee ID")</f>
        <v>HR</v>
      </c>
      <c r="D140" s="60">
        <f>_xlfn.XLOOKUP(EmployeeAttendance[[#This Row],[Employee ID]],EmployeeMaster[Employee ID],EmployeeMaster[Salary],"Invalid Employee ID",0,-1)</f>
        <v>35826</v>
      </c>
    </row>
    <row r="141" spans="1:4" x14ac:dyDescent="0.3">
      <c r="A141" s="54" t="s">
        <v>179</v>
      </c>
      <c r="B141" s="14" t="str">
        <f>_xlfn.XLOOKUP(EmployeeAttendance[[#This Row],[Employee ID]],EmployeeMaster[Employee ID],EmployeeMaster[Employee Name],"Invalid Employee ID")</f>
        <v>Nadia</v>
      </c>
      <c r="C141" s="14" t="str">
        <f>_xlfn.XLOOKUP(EmployeeAttendance[[#This Row],[Employee ID]],EmployeeMaster[Employee ID],EmployeeMaster[Department],"Invalid Employee ID")</f>
        <v>HR</v>
      </c>
      <c r="D141" s="60">
        <f>_xlfn.XLOOKUP(EmployeeAttendance[[#This Row],[Employee ID]],EmployeeMaster[Employee ID],EmployeeMaster[Salary],"Invalid Employee ID",0,-1)</f>
        <v>40644</v>
      </c>
    </row>
    <row r="142" spans="1:4" x14ac:dyDescent="0.3">
      <c r="A142" s="54" t="s">
        <v>178</v>
      </c>
      <c r="B142" s="14" t="str">
        <f>_xlfn.XLOOKUP(EmployeeAttendance[[#This Row],[Employee ID]],EmployeeMaster[Employee ID],EmployeeMaster[Employee Name],"Invalid Employee ID")</f>
        <v>Karim</v>
      </c>
      <c r="C142" s="14" t="str">
        <f>_xlfn.XLOOKUP(EmployeeAttendance[[#This Row],[Employee ID]],EmployeeMaster[Employee ID],EmployeeMaster[Department],"Invalid Employee ID")</f>
        <v>Accounts</v>
      </c>
      <c r="D142" s="60">
        <f>_xlfn.XLOOKUP(EmployeeAttendance[[#This Row],[Employee ID]],EmployeeMaster[Employee ID],EmployeeMaster[Salary],"Invalid Employee ID",0,-1)</f>
        <v>36748</v>
      </c>
    </row>
    <row r="143" spans="1:4" x14ac:dyDescent="0.3">
      <c r="A143" s="54" t="s">
        <v>182</v>
      </c>
      <c r="B143" s="14" t="str">
        <f>_xlfn.XLOOKUP(EmployeeAttendance[[#This Row],[Employee ID]],EmployeeMaster[Employee ID],EmployeeMaster[Employee Name],"Invalid Employee ID")</f>
        <v>Rima</v>
      </c>
      <c r="C143" s="14" t="str">
        <f>_xlfn.XLOOKUP(EmployeeAttendance[[#This Row],[Employee ID]],EmployeeMaster[Employee ID],EmployeeMaster[Department],"Invalid Employee ID")</f>
        <v>Sales</v>
      </c>
      <c r="D143" s="60">
        <f>_xlfn.XLOOKUP(EmployeeAttendance[[#This Row],[Employee ID]],EmployeeMaster[Employee ID],EmployeeMaster[Salary],"Invalid Employee ID",0,-1)</f>
        <v>69227</v>
      </c>
    </row>
    <row r="144" spans="1:4" x14ac:dyDescent="0.3">
      <c r="A144" s="54" t="s">
        <v>154</v>
      </c>
      <c r="B144" s="14" t="str">
        <f>_xlfn.XLOOKUP(EmployeeAttendance[[#This Row],[Employee ID]],EmployeeMaster[Employee ID],EmployeeMaster[Employee Name],"Invalid Employee ID")</f>
        <v>Jui</v>
      </c>
      <c r="C144" s="14" t="str">
        <f>_xlfn.XLOOKUP(EmployeeAttendance[[#This Row],[Employee ID]],EmployeeMaster[Employee ID],EmployeeMaster[Department],"Invalid Employee ID")</f>
        <v>Sales</v>
      </c>
      <c r="D144" s="60">
        <f>_xlfn.XLOOKUP(EmployeeAttendance[[#This Row],[Employee ID]],EmployeeMaster[Employee ID],EmployeeMaster[Salary],"Invalid Employee ID",0,-1)</f>
        <v>90000</v>
      </c>
    </row>
    <row r="145" spans="1:4" x14ac:dyDescent="0.3">
      <c r="A145" s="54" t="s">
        <v>174</v>
      </c>
      <c r="B145" s="14" t="str">
        <f>_xlfn.XLOOKUP(EmployeeAttendance[[#This Row],[Employee ID]],EmployeeMaster[Employee ID],EmployeeMaster[Employee Name],"Invalid Employee ID")</f>
        <v>Rima</v>
      </c>
      <c r="C145" s="14" t="str">
        <f>_xlfn.XLOOKUP(EmployeeAttendance[[#This Row],[Employee ID]],EmployeeMaster[Employee ID],EmployeeMaster[Department],"Invalid Employee ID")</f>
        <v>IT</v>
      </c>
      <c r="D145" s="60">
        <f>_xlfn.XLOOKUP(EmployeeAttendance[[#This Row],[Employee ID]],EmployeeMaster[Employee ID],EmployeeMaster[Salary],"Invalid Employee ID",0,-1)</f>
        <v>45375</v>
      </c>
    </row>
    <row r="146" spans="1:4" x14ac:dyDescent="0.3">
      <c r="A146" s="54" t="s">
        <v>159</v>
      </c>
      <c r="B146" s="14" t="str">
        <f>_xlfn.XLOOKUP(EmployeeAttendance[[#This Row],[Employee ID]],EmployeeMaster[Employee ID],EmployeeMaster[Employee Name],"Invalid Employee ID")</f>
        <v>Sohan</v>
      </c>
      <c r="C146" s="14" t="str">
        <f>_xlfn.XLOOKUP(EmployeeAttendance[[#This Row],[Employee ID]],EmployeeMaster[Employee ID],EmployeeMaster[Department],"Invalid Employee ID")</f>
        <v>IT</v>
      </c>
      <c r="D146" s="60">
        <f>_xlfn.XLOOKUP(EmployeeAttendance[[#This Row],[Employee ID]],EmployeeMaster[Employee ID],EmployeeMaster[Salary],"Invalid Employee ID",0,-1)</f>
        <v>60818</v>
      </c>
    </row>
    <row r="147" spans="1:4" x14ac:dyDescent="0.3">
      <c r="A147" s="54" t="s">
        <v>161</v>
      </c>
      <c r="B147" s="14" t="str">
        <f>_xlfn.XLOOKUP(EmployeeAttendance[[#This Row],[Employee ID]],EmployeeMaster[Employee ID],EmployeeMaster[Employee Name],"Invalid Employee ID")</f>
        <v>Nadia</v>
      </c>
      <c r="C147" s="14" t="str">
        <f>_xlfn.XLOOKUP(EmployeeAttendance[[#This Row],[Employee ID]],EmployeeMaster[Employee ID],EmployeeMaster[Department],"Invalid Employee ID")</f>
        <v>IT</v>
      </c>
      <c r="D147" s="60">
        <f>_xlfn.XLOOKUP(EmployeeAttendance[[#This Row],[Employee ID]],EmployeeMaster[Employee ID],EmployeeMaster[Salary],"Invalid Employee ID",0,-1)</f>
        <v>72444</v>
      </c>
    </row>
    <row r="148" spans="1:4" x14ac:dyDescent="0.3">
      <c r="A148" s="54" t="s">
        <v>155</v>
      </c>
      <c r="B148" s="14" t="str">
        <f>_xlfn.XLOOKUP(EmployeeAttendance[[#This Row],[Employee ID]],EmployeeMaster[Employee ID],EmployeeMaster[Employee Name],"Invalid Employee ID")</f>
        <v>Jui</v>
      </c>
      <c r="C148" s="14" t="str">
        <f>_xlfn.XLOOKUP(EmployeeAttendance[[#This Row],[Employee ID]],EmployeeMaster[Employee ID],EmployeeMaster[Department],"Invalid Employee ID")</f>
        <v>HR</v>
      </c>
      <c r="D148" s="60">
        <f>_xlfn.XLOOKUP(EmployeeAttendance[[#This Row],[Employee ID]],EmployeeMaster[Employee ID],EmployeeMaster[Salary],"Invalid Employee ID",0,-1)</f>
        <v>35826</v>
      </c>
    </row>
    <row r="149" spans="1:4" x14ac:dyDescent="0.3">
      <c r="A149" s="54" t="s">
        <v>157</v>
      </c>
      <c r="B149" s="14" t="str">
        <f>_xlfn.XLOOKUP(EmployeeAttendance[[#This Row],[Employee ID]],EmployeeMaster[Employee ID],EmployeeMaster[Employee Name],"Invalid Employee ID")</f>
        <v>Karim</v>
      </c>
      <c r="C149" s="14" t="str">
        <f>_xlfn.XLOOKUP(EmployeeAttendance[[#This Row],[Employee ID]],EmployeeMaster[Employee ID],EmployeeMaster[Department],"Invalid Employee ID")</f>
        <v>HR</v>
      </c>
      <c r="D149" s="60">
        <f>_xlfn.XLOOKUP(EmployeeAttendance[[#This Row],[Employee ID]],EmployeeMaster[Employee ID],EmployeeMaster[Salary],"Invalid Employee ID",0,-1)</f>
        <v>70219</v>
      </c>
    </row>
    <row r="150" spans="1:4" x14ac:dyDescent="0.3">
      <c r="A150" s="54" t="s">
        <v>160</v>
      </c>
      <c r="B150" s="14" t="str">
        <f>_xlfn.XLOOKUP(EmployeeAttendance[[#This Row],[Employee ID]],EmployeeMaster[Employee ID],EmployeeMaster[Employee Name],"Invalid Employee ID")</f>
        <v>Rifat</v>
      </c>
      <c r="C150" s="14" t="str">
        <f>_xlfn.XLOOKUP(EmployeeAttendance[[#This Row],[Employee ID]],EmployeeMaster[Employee ID],EmployeeMaster[Department],"Invalid Employee ID")</f>
        <v>HR</v>
      </c>
      <c r="D150" s="60">
        <f>_xlfn.XLOOKUP(EmployeeAttendance[[#This Row],[Employee ID]],EmployeeMaster[Employee ID],EmployeeMaster[Salary],"Invalid Employee ID",0,-1)</f>
        <v>70000</v>
      </c>
    </row>
    <row r="151" spans="1:4" x14ac:dyDescent="0.3">
      <c r="A151" s="54" t="s">
        <v>172</v>
      </c>
      <c r="B151" s="14" t="str">
        <f>_xlfn.XLOOKUP(EmployeeAttendance[[#This Row],[Employee ID]],EmployeeMaster[Employee ID],EmployeeMaster[Employee Name],"Invalid Employee ID")</f>
        <v>Rima</v>
      </c>
      <c r="C151" s="14" t="str">
        <f>_xlfn.XLOOKUP(EmployeeAttendance[[#This Row],[Employee ID]],EmployeeMaster[Employee ID],EmployeeMaster[Department],"Invalid Employee ID")</f>
        <v>HR</v>
      </c>
      <c r="D151" s="60">
        <f>_xlfn.XLOOKUP(EmployeeAttendance[[#This Row],[Employee ID]],EmployeeMaster[Employee ID],EmployeeMaster[Salary],"Invalid Employee ID",0,-1)</f>
        <v>84704</v>
      </c>
    </row>
    <row r="152" spans="1:4" x14ac:dyDescent="0.3">
      <c r="A152" s="38" t="s">
        <v>180</v>
      </c>
      <c r="B152" s="61" t="str">
        <f>_xlfn.XLOOKUP(EmployeeAttendance[[#This Row],[Employee ID]],EmployeeMaster[Employee ID],EmployeeMaster[Employee Name],"Invalid Employee ID")</f>
        <v>Tania</v>
      </c>
      <c r="C152" s="61" t="str">
        <f>_xlfn.XLOOKUP(EmployeeAttendance[[#This Row],[Employee ID]],EmployeeMaster[Employee ID],EmployeeMaster[Department],"Invalid Employee ID")</f>
        <v>Sales</v>
      </c>
      <c r="D152" s="62">
        <f>_xlfn.XLOOKUP(EmployeeAttendance[[#This Row],[Employee ID]],EmployeeMaster[Employee ID],EmployeeMaster[Salary],"Invalid Employee ID",0,-1)</f>
        <v>36555</v>
      </c>
    </row>
  </sheetData>
  <mergeCells count="4">
    <mergeCell ref="F2:M15"/>
    <mergeCell ref="F19:M19"/>
    <mergeCell ref="F23:M23"/>
    <mergeCell ref="F21:M21"/>
  </mergeCell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34"/>
  <sheetViews>
    <sheetView workbookViewId="0">
      <selection activeCell="M50" sqref="M50"/>
    </sheetView>
  </sheetViews>
  <sheetFormatPr defaultColWidth="13.5546875" defaultRowHeight="14.4" x14ac:dyDescent="0.3"/>
  <cols>
    <col min="1" max="1" width="17.109375" customWidth="1"/>
    <col min="2" max="2" width="14.44140625" bestFit="1" customWidth="1"/>
    <col min="3" max="3" width="18" bestFit="1" customWidth="1"/>
    <col min="4" max="4" width="14" bestFit="1" customWidth="1"/>
    <col min="5" max="5" width="8.5546875" bestFit="1" customWidth="1"/>
  </cols>
  <sheetData>
    <row r="1" spans="2:5" x14ac:dyDescent="0.3">
      <c r="B1" s="57" t="s">
        <v>153</v>
      </c>
      <c r="C1" s="58" t="s">
        <v>183</v>
      </c>
      <c r="D1" s="58" t="s">
        <v>184</v>
      </c>
      <c r="E1" s="59" t="s">
        <v>185</v>
      </c>
    </row>
    <row r="2" spans="2:5" x14ac:dyDescent="0.3">
      <c r="B2" s="54" t="s">
        <v>160</v>
      </c>
      <c r="C2" s="10" t="s">
        <v>149</v>
      </c>
      <c r="D2" s="10" t="s">
        <v>186</v>
      </c>
      <c r="E2" s="55">
        <v>58601</v>
      </c>
    </row>
    <row r="3" spans="2:5" x14ac:dyDescent="0.3">
      <c r="B3" s="54" t="s">
        <v>178</v>
      </c>
      <c r="C3" s="10" t="s">
        <v>187</v>
      </c>
      <c r="D3" s="10" t="s">
        <v>188</v>
      </c>
      <c r="E3" s="55">
        <v>36748</v>
      </c>
    </row>
    <row r="4" spans="2:5" x14ac:dyDescent="0.3">
      <c r="B4" s="54" t="s">
        <v>156</v>
      </c>
      <c r="C4" s="10" t="s">
        <v>150</v>
      </c>
      <c r="D4" s="10" t="s">
        <v>189</v>
      </c>
      <c r="E4" s="55">
        <v>48286</v>
      </c>
    </row>
    <row r="5" spans="2:5" x14ac:dyDescent="0.3">
      <c r="B5" s="54" t="s">
        <v>159</v>
      </c>
      <c r="C5" s="10" t="s">
        <v>152</v>
      </c>
      <c r="D5" s="10" t="s">
        <v>190</v>
      </c>
      <c r="E5" s="55">
        <v>60818</v>
      </c>
    </row>
    <row r="6" spans="2:5" x14ac:dyDescent="0.3">
      <c r="B6" s="54" t="s">
        <v>175</v>
      </c>
      <c r="C6" s="10" t="s">
        <v>149</v>
      </c>
      <c r="D6" s="10" t="s">
        <v>188</v>
      </c>
      <c r="E6" s="55">
        <v>79122</v>
      </c>
    </row>
    <row r="7" spans="2:5" x14ac:dyDescent="0.3">
      <c r="B7" s="54" t="s">
        <v>166</v>
      </c>
      <c r="C7" s="10" t="s">
        <v>146</v>
      </c>
      <c r="D7" s="10" t="s">
        <v>189</v>
      </c>
      <c r="E7" s="55">
        <v>45834</v>
      </c>
    </row>
    <row r="8" spans="2:5" x14ac:dyDescent="0.3">
      <c r="B8" s="54" t="s">
        <v>173</v>
      </c>
      <c r="C8" s="10" t="s">
        <v>187</v>
      </c>
      <c r="D8" s="10" t="s">
        <v>186</v>
      </c>
      <c r="E8" s="55">
        <v>86625</v>
      </c>
    </row>
    <row r="9" spans="2:5" x14ac:dyDescent="0.3">
      <c r="B9" s="54" t="s">
        <v>191</v>
      </c>
      <c r="C9" s="10" t="s">
        <v>149</v>
      </c>
      <c r="D9" s="10" t="s">
        <v>189</v>
      </c>
      <c r="E9" s="55">
        <v>49556</v>
      </c>
    </row>
    <row r="10" spans="2:5" x14ac:dyDescent="0.3">
      <c r="B10" s="54" t="s">
        <v>164</v>
      </c>
      <c r="C10" s="10" t="s">
        <v>144</v>
      </c>
      <c r="D10" s="10" t="s">
        <v>190</v>
      </c>
      <c r="E10" s="55">
        <v>32340</v>
      </c>
    </row>
    <row r="11" spans="2:5" x14ac:dyDescent="0.3">
      <c r="B11" s="54" t="s">
        <v>154</v>
      </c>
      <c r="C11" s="10" t="s">
        <v>150</v>
      </c>
      <c r="D11" s="10" t="s">
        <v>189</v>
      </c>
      <c r="E11" s="55">
        <v>83250</v>
      </c>
    </row>
    <row r="12" spans="2:5" x14ac:dyDescent="0.3">
      <c r="B12" s="54" t="s">
        <v>165</v>
      </c>
      <c r="C12" s="10" t="s">
        <v>148</v>
      </c>
      <c r="D12" s="10" t="s">
        <v>186</v>
      </c>
      <c r="E12" s="55">
        <v>36029</v>
      </c>
    </row>
    <row r="13" spans="2:5" x14ac:dyDescent="0.3">
      <c r="B13" s="54" t="s">
        <v>179</v>
      </c>
      <c r="C13" s="10" t="s">
        <v>145</v>
      </c>
      <c r="D13" s="10" t="s">
        <v>186</v>
      </c>
      <c r="E13" s="55">
        <v>40644</v>
      </c>
    </row>
    <row r="14" spans="2:5" x14ac:dyDescent="0.3">
      <c r="B14" s="54" t="s">
        <v>161</v>
      </c>
      <c r="C14" s="10" t="s">
        <v>145</v>
      </c>
      <c r="D14" s="10" t="s">
        <v>190</v>
      </c>
      <c r="E14" s="55">
        <v>72444</v>
      </c>
    </row>
    <row r="15" spans="2:5" x14ac:dyDescent="0.3">
      <c r="B15" s="54" t="s">
        <v>155</v>
      </c>
      <c r="C15" s="10" t="s">
        <v>150</v>
      </c>
      <c r="D15" s="10" t="s">
        <v>186</v>
      </c>
      <c r="E15" s="55">
        <v>35826</v>
      </c>
    </row>
    <row r="16" spans="2:5" x14ac:dyDescent="0.3">
      <c r="B16" s="54" t="s">
        <v>167</v>
      </c>
      <c r="C16" s="10" t="s">
        <v>151</v>
      </c>
      <c r="D16" s="10" t="s">
        <v>186</v>
      </c>
      <c r="E16" s="55">
        <v>60419</v>
      </c>
    </row>
    <row r="17" spans="2:5" x14ac:dyDescent="0.3">
      <c r="B17" s="54" t="s">
        <v>169</v>
      </c>
      <c r="C17" s="10" t="s">
        <v>144</v>
      </c>
      <c r="D17" s="10" t="s">
        <v>189</v>
      </c>
      <c r="E17" s="55">
        <v>31666</v>
      </c>
    </row>
    <row r="18" spans="2:5" x14ac:dyDescent="0.3">
      <c r="B18" s="54" t="s">
        <v>176</v>
      </c>
      <c r="C18" s="10" t="s">
        <v>149</v>
      </c>
      <c r="D18" s="10" t="s">
        <v>188</v>
      </c>
      <c r="E18" s="55">
        <v>30083</v>
      </c>
    </row>
    <row r="19" spans="2:5" x14ac:dyDescent="0.3">
      <c r="B19" s="54" t="s">
        <v>174</v>
      </c>
      <c r="C19" s="10" t="s">
        <v>144</v>
      </c>
      <c r="D19" s="10" t="s">
        <v>190</v>
      </c>
      <c r="E19" s="55">
        <v>45375</v>
      </c>
    </row>
    <row r="20" spans="2:5" x14ac:dyDescent="0.3">
      <c r="B20" s="54" t="s">
        <v>168</v>
      </c>
      <c r="C20" s="10" t="s">
        <v>148</v>
      </c>
      <c r="D20" s="10" t="s">
        <v>189</v>
      </c>
      <c r="E20" s="55">
        <v>69579</v>
      </c>
    </row>
    <row r="21" spans="2:5" x14ac:dyDescent="0.3">
      <c r="B21" s="54" t="s">
        <v>162</v>
      </c>
      <c r="C21" s="10" t="s">
        <v>146</v>
      </c>
      <c r="D21" s="10" t="s">
        <v>189</v>
      </c>
      <c r="E21" s="55">
        <v>78976</v>
      </c>
    </row>
    <row r="22" spans="2:5" x14ac:dyDescent="0.3">
      <c r="B22" s="54" t="s">
        <v>158</v>
      </c>
      <c r="C22" s="10" t="s">
        <v>187</v>
      </c>
      <c r="D22" s="10" t="s">
        <v>186</v>
      </c>
      <c r="E22" s="55">
        <v>78476</v>
      </c>
    </row>
    <row r="23" spans="2:5" x14ac:dyDescent="0.3">
      <c r="B23" s="54" t="s">
        <v>163</v>
      </c>
      <c r="C23" s="10" t="s">
        <v>146</v>
      </c>
      <c r="D23" s="10" t="s">
        <v>190</v>
      </c>
      <c r="E23" s="55">
        <v>57522</v>
      </c>
    </row>
    <row r="24" spans="2:5" x14ac:dyDescent="0.3">
      <c r="B24" s="54" t="s">
        <v>181</v>
      </c>
      <c r="C24" s="10" t="s">
        <v>187</v>
      </c>
      <c r="D24" s="10" t="s">
        <v>188</v>
      </c>
      <c r="E24" s="55">
        <v>44297</v>
      </c>
    </row>
    <row r="25" spans="2:5" x14ac:dyDescent="0.3">
      <c r="B25" s="54" t="s">
        <v>157</v>
      </c>
      <c r="C25" s="10" t="s">
        <v>187</v>
      </c>
      <c r="D25" s="10" t="s">
        <v>186</v>
      </c>
      <c r="E25" s="55">
        <v>70219</v>
      </c>
    </row>
    <row r="26" spans="2:5" x14ac:dyDescent="0.3">
      <c r="B26" s="54" t="s">
        <v>177</v>
      </c>
      <c r="C26" s="10" t="s">
        <v>148</v>
      </c>
      <c r="D26" s="10" t="s">
        <v>186</v>
      </c>
      <c r="E26" s="55">
        <v>47746</v>
      </c>
    </row>
    <row r="27" spans="2:5" x14ac:dyDescent="0.3">
      <c r="B27" s="54" t="s">
        <v>182</v>
      </c>
      <c r="C27" s="10" t="s">
        <v>144</v>
      </c>
      <c r="D27" s="10" t="s">
        <v>189</v>
      </c>
      <c r="E27" s="55">
        <v>69227</v>
      </c>
    </row>
    <row r="28" spans="2:5" x14ac:dyDescent="0.3">
      <c r="B28" s="54" t="s">
        <v>180</v>
      </c>
      <c r="C28" s="10" t="s">
        <v>148</v>
      </c>
      <c r="D28" s="10" t="s">
        <v>189</v>
      </c>
      <c r="E28" s="55">
        <v>36555</v>
      </c>
    </row>
    <row r="29" spans="2:5" x14ac:dyDescent="0.3">
      <c r="B29" s="54" t="s">
        <v>171</v>
      </c>
      <c r="C29" s="10" t="s">
        <v>148</v>
      </c>
      <c r="D29" s="10" t="s">
        <v>186</v>
      </c>
      <c r="E29" s="55">
        <v>42536</v>
      </c>
    </row>
    <row r="30" spans="2:5" x14ac:dyDescent="0.3">
      <c r="B30" s="54" t="s">
        <v>170</v>
      </c>
      <c r="C30" s="10" t="s">
        <v>148</v>
      </c>
      <c r="D30" s="10" t="s">
        <v>189</v>
      </c>
      <c r="E30" s="55">
        <v>53250</v>
      </c>
    </row>
    <row r="31" spans="2:5" x14ac:dyDescent="0.3">
      <c r="B31" s="54" t="s">
        <v>172</v>
      </c>
      <c r="C31" s="10" t="s">
        <v>144</v>
      </c>
      <c r="D31" s="10" t="s">
        <v>186</v>
      </c>
      <c r="E31" s="55">
        <v>84704</v>
      </c>
    </row>
    <row r="32" spans="2:5" x14ac:dyDescent="0.3">
      <c r="B32" s="54" t="s">
        <v>154</v>
      </c>
      <c r="C32" s="10" t="s">
        <v>150</v>
      </c>
      <c r="D32" s="10" t="s">
        <v>189</v>
      </c>
      <c r="E32" s="63">
        <v>90000</v>
      </c>
    </row>
    <row r="33" spans="2:5" x14ac:dyDescent="0.3">
      <c r="B33" s="54" t="s">
        <v>167</v>
      </c>
      <c r="C33" s="10" t="s">
        <v>151</v>
      </c>
      <c r="D33" s="10" t="s">
        <v>186</v>
      </c>
      <c r="E33" s="55">
        <v>80000</v>
      </c>
    </row>
    <row r="34" spans="2:5" x14ac:dyDescent="0.3">
      <c r="B34" s="38" t="s">
        <v>160</v>
      </c>
      <c r="C34" s="56" t="s">
        <v>149</v>
      </c>
      <c r="D34" s="56" t="s">
        <v>186</v>
      </c>
      <c r="E34" s="37">
        <v>70000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2"/>
  <sheetViews>
    <sheetView workbookViewId="0">
      <selection activeCell="M71" sqref="M71"/>
    </sheetView>
  </sheetViews>
  <sheetFormatPr defaultColWidth="15.5546875" defaultRowHeight="14.4" x14ac:dyDescent="0.3"/>
  <cols>
    <col min="4" max="4" width="15.5546875" style="1"/>
  </cols>
  <sheetData>
    <row r="1" spans="1:11" ht="15" thickBot="1" x14ac:dyDescent="0.35"/>
    <row r="2" spans="1:11" x14ac:dyDescent="0.3">
      <c r="A2" s="57" t="s">
        <v>153</v>
      </c>
      <c r="B2" s="58" t="s">
        <v>184</v>
      </c>
      <c r="C2" s="58" t="s">
        <v>192</v>
      </c>
      <c r="D2" s="66" t="s">
        <v>0</v>
      </c>
      <c r="G2" s="98" t="s">
        <v>363</v>
      </c>
      <c r="H2" s="123"/>
      <c r="I2" s="123"/>
      <c r="J2" s="123"/>
      <c r="K2" s="124"/>
    </row>
    <row r="3" spans="1:11" x14ac:dyDescent="0.3">
      <c r="A3" s="54" t="s">
        <v>159</v>
      </c>
      <c r="B3" s="10" t="s">
        <v>186</v>
      </c>
      <c r="C3" s="10" t="s">
        <v>193</v>
      </c>
      <c r="D3" s="64">
        <v>46181</v>
      </c>
      <c r="G3" s="125"/>
      <c r="H3" s="126"/>
      <c r="I3" s="126"/>
      <c r="J3" s="126"/>
      <c r="K3" s="127"/>
    </row>
    <row r="4" spans="1:11" x14ac:dyDescent="0.3">
      <c r="A4" s="54" t="s">
        <v>174</v>
      </c>
      <c r="B4" s="10" t="s">
        <v>189</v>
      </c>
      <c r="C4" s="10" t="s">
        <v>194</v>
      </c>
      <c r="D4" s="64">
        <v>46190</v>
      </c>
      <c r="G4" s="125"/>
      <c r="H4" s="126"/>
      <c r="I4" s="126"/>
      <c r="J4" s="126"/>
      <c r="K4" s="127"/>
    </row>
    <row r="5" spans="1:11" x14ac:dyDescent="0.3">
      <c r="A5" s="54" t="s">
        <v>172</v>
      </c>
      <c r="B5" s="10" t="s">
        <v>188</v>
      </c>
      <c r="C5" s="10" t="s">
        <v>193</v>
      </c>
      <c r="D5" s="64">
        <v>46174</v>
      </c>
      <c r="G5" s="125"/>
      <c r="H5" s="126"/>
      <c r="I5" s="126"/>
      <c r="J5" s="126"/>
      <c r="K5" s="127"/>
    </row>
    <row r="6" spans="1:11" x14ac:dyDescent="0.3">
      <c r="A6" s="54" t="s">
        <v>156</v>
      </c>
      <c r="B6" s="10" t="s">
        <v>188</v>
      </c>
      <c r="C6" s="10" t="s">
        <v>193</v>
      </c>
      <c r="D6" s="64">
        <v>46197</v>
      </c>
      <c r="G6" s="125"/>
      <c r="H6" s="126"/>
      <c r="I6" s="126"/>
      <c r="J6" s="126"/>
      <c r="K6" s="127"/>
    </row>
    <row r="7" spans="1:11" x14ac:dyDescent="0.3">
      <c r="A7" s="54" t="s">
        <v>180</v>
      </c>
      <c r="B7" s="10" t="s">
        <v>188</v>
      </c>
      <c r="C7" s="10" t="s">
        <v>194</v>
      </c>
      <c r="D7" s="64">
        <v>46181</v>
      </c>
      <c r="G7" s="125"/>
      <c r="H7" s="126"/>
      <c r="I7" s="126"/>
      <c r="J7" s="126"/>
      <c r="K7" s="127"/>
    </row>
    <row r="8" spans="1:11" x14ac:dyDescent="0.3">
      <c r="A8" s="54" t="s">
        <v>162</v>
      </c>
      <c r="B8" s="10" t="s">
        <v>190</v>
      </c>
      <c r="C8" s="10" t="s">
        <v>194</v>
      </c>
      <c r="D8" s="64">
        <v>46194</v>
      </c>
      <c r="G8" s="125"/>
      <c r="H8" s="126"/>
      <c r="I8" s="126"/>
      <c r="J8" s="126"/>
      <c r="K8" s="127"/>
    </row>
    <row r="9" spans="1:11" x14ac:dyDescent="0.3">
      <c r="A9" s="54" t="s">
        <v>167</v>
      </c>
      <c r="B9" s="10" t="s">
        <v>186</v>
      </c>
      <c r="C9" s="10" t="s">
        <v>193</v>
      </c>
      <c r="D9" s="64">
        <v>46178</v>
      </c>
      <c r="G9" s="125"/>
      <c r="H9" s="126"/>
      <c r="I9" s="126"/>
      <c r="J9" s="126"/>
      <c r="K9" s="127"/>
    </row>
    <row r="10" spans="1:11" ht="15" thickBot="1" x14ac:dyDescent="0.35">
      <c r="A10" s="54" t="s">
        <v>177</v>
      </c>
      <c r="B10" s="10" t="s">
        <v>186</v>
      </c>
      <c r="C10" s="10" t="s">
        <v>193</v>
      </c>
      <c r="D10" s="64">
        <v>46181</v>
      </c>
      <c r="G10" s="128"/>
      <c r="H10" s="129"/>
      <c r="I10" s="129"/>
      <c r="J10" s="129"/>
      <c r="K10" s="130"/>
    </row>
    <row r="11" spans="1:11" x14ac:dyDescent="0.3">
      <c r="A11" s="54" t="s">
        <v>156</v>
      </c>
      <c r="B11" s="10" t="s">
        <v>190</v>
      </c>
      <c r="C11" s="10" t="s">
        <v>193</v>
      </c>
      <c r="D11" s="64">
        <v>46179</v>
      </c>
    </row>
    <row r="12" spans="1:11" ht="15" thickBot="1" x14ac:dyDescent="0.35">
      <c r="A12" s="54" t="s">
        <v>168</v>
      </c>
      <c r="B12" s="10" t="s">
        <v>186</v>
      </c>
      <c r="C12" s="10" t="s">
        <v>194</v>
      </c>
      <c r="D12" s="64">
        <v>46181</v>
      </c>
    </row>
    <row r="13" spans="1:11" x14ac:dyDescent="0.3">
      <c r="A13" s="54" t="s">
        <v>181</v>
      </c>
      <c r="B13" s="10" t="s">
        <v>188</v>
      </c>
      <c r="C13" s="10" t="s">
        <v>193</v>
      </c>
      <c r="D13" s="64">
        <v>46194</v>
      </c>
      <c r="F13" s="137" t="s">
        <v>364</v>
      </c>
      <c r="G13" s="131">
        <f>COUNTIFS(Table11[Status],"Present",Table11[Department],"IT",Table11[Date],"&gt;="&amp;DATE(2026,6,1),Table11[Date],"&lt;="&amp;DATE(2026,6,30))</f>
        <v>19</v>
      </c>
      <c r="H13" s="132"/>
      <c r="I13" s="132"/>
      <c r="J13" s="132"/>
      <c r="K13" s="133"/>
    </row>
    <row r="14" spans="1:11" ht="15" thickBot="1" x14ac:dyDescent="0.35">
      <c r="A14" s="54" t="s">
        <v>162</v>
      </c>
      <c r="B14" s="10" t="s">
        <v>189</v>
      </c>
      <c r="C14" s="10" t="s">
        <v>193</v>
      </c>
      <c r="D14" s="64">
        <v>46188</v>
      </c>
      <c r="F14" s="137"/>
      <c r="G14" s="134"/>
      <c r="H14" s="135"/>
      <c r="I14" s="135"/>
      <c r="J14" s="135"/>
      <c r="K14" s="136"/>
    </row>
    <row r="15" spans="1:11" x14ac:dyDescent="0.3">
      <c r="A15" s="54" t="s">
        <v>158</v>
      </c>
      <c r="B15" s="10" t="s">
        <v>190</v>
      </c>
      <c r="C15" s="10" t="s">
        <v>194</v>
      </c>
      <c r="D15" s="64">
        <v>46187</v>
      </c>
    </row>
    <row r="16" spans="1:11" x14ac:dyDescent="0.3">
      <c r="A16" s="54" t="s">
        <v>181</v>
      </c>
      <c r="B16" s="10" t="s">
        <v>190</v>
      </c>
      <c r="C16" s="10" t="s">
        <v>194</v>
      </c>
      <c r="D16" s="64">
        <v>46186</v>
      </c>
    </row>
    <row r="17" spans="1:13" x14ac:dyDescent="0.3">
      <c r="A17" s="54" t="s">
        <v>180</v>
      </c>
      <c r="B17" s="10" t="s">
        <v>189</v>
      </c>
      <c r="C17" s="10" t="s">
        <v>194</v>
      </c>
      <c r="D17" s="64">
        <v>46202</v>
      </c>
    </row>
    <row r="18" spans="1:13" x14ac:dyDescent="0.3">
      <c r="A18" s="54" t="s">
        <v>177</v>
      </c>
      <c r="B18" s="10" t="s">
        <v>190</v>
      </c>
      <c r="C18" s="10" t="s">
        <v>193</v>
      </c>
      <c r="D18" s="64">
        <v>46179</v>
      </c>
      <c r="G18" s="138" t="s">
        <v>753</v>
      </c>
      <c r="H18" s="138"/>
      <c r="I18" s="138"/>
      <c r="J18" s="138"/>
      <c r="K18" s="138"/>
      <c r="L18" s="138"/>
      <c r="M18" s="138"/>
    </row>
    <row r="19" spans="1:13" x14ac:dyDescent="0.3">
      <c r="A19" s="54" t="s">
        <v>165</v>
      </c>
      <c r="B19" s="10" t="s">
        <v>189</v>
      </c>
      <c r="C19" s="10" t="s">
        <v>194</v>
      </c>
      <c r="D19" s="64">
        <v>46195</v>
      </c>
      <c r="G19" s="138"/>
      <c r="H19" s="138"/>
      <c r="I19" s="138"/>
      <c r="J19" s="138"/>
      <c r="K19" s="138"/>
      <c r="L19" s="138"/>
      <c r="M19" s="138"/>
    </row>
    <row r="20" spans="1:13" x14ac:dyDescent="0.3">
      <c r="A20" s="54" t="s">
        <v>172</v>
      </c>
      <c r="B20" s="10" t="s">
        <v>189</v>
      </c>
      <c r="C20" s="10" t="s">
        <v>194</v>
      </c>
      <c r="D20" s="64">
        <v>46179</v>
      </c>
    </row>
    <row r="21" spans="1:13" x14ac:dyDescent="0.3">
      <c r="A21" s="54" t="s">
        <v>156</v>
      </c>
      <c r="B21" s="10" t="s">
        <v>189</v>
      </c>
      <c r="C21" s="10" t="s">
        <v>193</v>
      </c>
      <c r="D21" s="64">
        <v>46182</v>
      </c>
    </row>
    <row r="22" spans="1:13" x14ac:dyDescent="0.3">
      <c r="A22" s="54" t="s">
        <v>166</v>
      </c>
      <c r="B22" s="10" t="s">
        <v>186</v>
      </c>
      <c r="C22" s="10" t="s">
        <v>193</v>
      </c>
      <c r="D22" s="64">
        <v>46199</v>
      </c>
    </row>
    <row r="23" spans="1:13" x14ac:dyDescent="0.3">
      <c r="A23" s="54" t="s">
        <v>169</v>
      </c>
      <c r="B23" s="10" t="s">
        <v>190</v>
      </c>
      <c r="C23" s="10" t="s">
        <v>193</v>
      </c>
      <c r="D23" s="64">
        <v>46174</v>
      </c>
    </row>
    <row r="24" spans="1:13" x14ac:dyDescent="0.3">
      <c r="A24" s="54" t="s">
        <v>179</v>
      </c>
      <c r="B24" s="10" t="s">
        <v>188</v>
      </c>
      <c r="C24" s="10" t="s">
        <v>193</v>
      </c>
      <c r="D24" s="64">
        <v>46180</v>
      </c>
    </row>
    <row r="25" spans="1:13" x14ac:dyDescent="0.3">
      <c r="A25" s="54" t="s">
        <v>172</v>
      </c>
      <c r="B25" s="10" t="s">
        <v>188</v>
      </c>
      <c r="C25" s="10" t="s">
        <v>193</v>
      </c>
      <c r="D25" s="64">
        <v>46197</v>
      </c>
    </row>
    <row r="26" spans="1:13" x14ac:dyDescent="0.3">
      <c r="A26" s="54" t="s">
        <v>181</v>
      </c>
      <c r="B26" s="10" t="s">
        <v>186</v>
      </c>
      <c r="C26" s="10" t="s">
        <v>194</v>
      </c>
      <c r="D26" s="64">
        <v>46175</v>
      </c>
    </row>
    <row r="27" spans="1:13" x14ac:dyDescent="0.3">
      <c r="A27" s="54" t="s">
        <v>176</v>
      </c>
      <c r="B27" s="10" t="s">
        <v>189</v>
      </c>
      <c r="C27" s="10" t="s">
        <v>194</v>
      </c>
      <c r="D27" s="64">
        <v>46194</v>
      </c>
    </row>
    <row r="28" spans="1:13" x14ac:dyDescent="0.3">
      <c r="A28" s="54" t="s">
        <v>161</v>
      </c>
      <c r="B28" s="10" t="s">
        <v>190</v>
      </c>
      <c r="C28" s="10" t="s">
        <v>194</v>
      </c>
      <c r="D28" s="64">
        <v>46174</v>
      </c>
    </row>
    <row r="29" spans="1:13" x14ac:dyDescent="0.3">
      <c r="A29" s="54" t="s">
        <v>156</v>
      </c>
      <c r="B29" s="10" t="s">
        <v>186</v>
      </c>
      <c r="C29" s="10" t="s">
        <v>194</v>
      </c>
      <c r="D29" s="64">
        <v>46175</v>
      </c>
    </row>
    <row r="30" spans="1:13" x14ac:dyDescent="0.3">
      <c r="A30" s="54" t="s">
        <v>182</v>
      </c>
      <c r="B30" s="10" t="s">
        <v>190</v>
      </c>
      <c r="C30" s="10" t="s">
        <v>194</v>
      </c>
      <c r="D30" s="64">
        <v>46187</v>
      </c>
    </row>
    <row r="31" spans="1:13" x14ac:dyDescent="0.3">
      <c r="A31" s="54" t="s">
        <v>181</v>
      </c>
      <c r="B31" s="10" t="s">
        <v>189</v>
      </c>
      <c r="C31" s="10" t="s">
        <v>193</v>
      </c>
      <c r="D31" s="64">
        <v>46194</v>
      </c>
    </row>
    <row r="32" spans="1:13" x14ac:dyDescent="0.3">
      <c r="A32" s="54" t="s">
        <v>173</v>
      </c>
      <c r="B32" s="10" t="s">
        <v>190</v>
      </c>
      <c r="C32" s="10" t="s">
        <v>193</v>
      </c>
      <c r="D32" s="64">
        <v>46195</v>
      </c>
    </row>
    <row r="33" spans="1:4" x14ac:dyDescent="0.3">
      <c r="A33" s="54" t="s">
        <v>169</v>
      </c>
      <c r="B33" s="10" t="s">
        <v>189</v>
      </c>
      <c r="C33" s="10" t="s">
        <v>194</v>
      </c>
      <c r="D33" s="64">
        <v>46195</v>
      </c>
    </row>
    <row r="34" spans="1:4" x14ac:dyDescent="0.3">
      <c r="A34" s="54" t="s">
        <v>182</v>
      </c>
      <c r="B34" s="10" t="s">
        <v>190</v>
      </c>
      <c r="C34" s="10" t="s">
        <v>193</v>
      </c>
      <c r="D34" s="64">
        <v>46196</v>
      </c>
    </row>
    <row r="35" spans="1:4" x14ac:dyDescent="0.3">
      <c r="A35" s="54" t="s">
        <v>164</v>
      </c>
      <c r="B35" s="10" t="s">
        <v>190</v>
      </c>
      <c r="C35" s="10" t="s">
        <v>193</v>
      </c>
      <c r="D35" s="64">
        <v>46196</v>
      </c>
    </row>
    <row r="36" spans="1:4" x14ac:dyDescent="0.3">
      <c r="A36" s="54" t="s">
        <v>157</v>
      </c>
      <c r="B36" s="10" t="s">
        <v>189</v>
      </c>
      <c r="C36" s="10" t="s">
        <v>194</v>
      </c>
      <c r="D36" s="64">
        <v>46189</v>
      </c>
    </row>
    <row r="37" spans="1:4" x14ac:dyDescent="0.3">
      <c r="A37" s="54" t="s">
        <v>159</v>
      </c>
      <c r="B37" s="10" t="s">
        <v>188</v>
      </c>
      <c r="C37" s="10" t="s">
        <v>193</v>
      </c>
      <c r="D37" s="64">
        <v>46198</v>
      </c>
    </row>
    <row r="38" spans="1:4" x14ac:dyDescent="0.3">
      <c r="A38" s="54" t="s">
        <v>172</v>
      </c>
      <c r="B38" s="10" t="s">
        <v>190</v>
      </c>
      <c r="C38" s="10" t="s">
        <v>193</v>
      </c>
      <c r="D38" s="64">
        <v>46176</v>
      </c>
    </row>
    <row r="39" spans="1:4" x14ac:dyDescent="0.3">
      <c r="A39" s="54" t="s">
        <v>172</v>
      </c>
      <c r="B39" s="10" t="s">
        <v>188</v>
      </c>
      <c r="C39" s="10" t="s">
        <v>193</v>
      </c>
      <c r="D39" s="64">
        <v>46176</v>
      </c>
    </row>
    <row r="40" spans="1:4" x14ac:dyDescent="0.3">
      <c r="A40" s="54" t="s">
        <v>177</v>
      </c>
      <c r="B40" s="10" t="s">
        <v>189</v>
      </c>
      <c r="C40" s="10" t="s">
        <v>193</v>
      </c>
      <c r="D40" s="64">
        <v>46201</v>
      </c>
    </row>
    <row r="41" spans="1:4" x14ac:dyDescent="0.3">
      <c r="A41" s="54" t="s">
        <v>166</v>
      </c>
      <c r="B41" s="10" t="s">
        <v>189</v>
      </c>
      <c r="C41" s="10" t="s">
        <v>193</v>
      </c>
      <c r="D41" s="64">
        <v>46197</v>
      </c>
    </row>
    <row r="42" spans="1:4" x14ac:dyDescent="0.3">
      <c r="A42" s="54" t="s">
        <v>170</v>
      </c>
      <c r="B42" s="10" t="s">
        <v>190</v>
      </c>
      <c r="C42" s="10" t="s">
        <v>194</v>
      </c>
      <c r="D42" s="64">
        <v>46191</v>
      </c>
    </row>
    <row r="43" spans="1:4" x14ac:dyDescent="0.3">
      <c r="A43" s="54" t="s">
        <v>173</v>
      </c>
      <c r="B43" s="10" t="s">
        <v>189</v>
      </c>
      <c r="C43" s="10" t="s">
        <v>194</v>
      </c>
      <c r="D43" s="64">
        <v>46182</v>
      </c>
    </row>
    <row r="44" spans="1:4" x14ac:dyDescent="0.3">
      <c r="A44" s="54" t="s">
        <v>166</v>
      </c>
      <c r="B44" s="10" t="s">
        <v>189</v>
      </c>
      <c r="C44" s="10" t="s">
        <v>194</v>
      </c>
      <c r="D44" s="64">
        <v>46201</v>
      </c>
    </row>
    <row r="45" spans="1:4" x14ac:dyDescent="0.3">
      <c r="A45" s="54" t="s">
        <v>177</v>
      </c>
      <c r="B45" s="10" t="s">
        <v>186</v>
      </c>
      <c r="C45" s="10" t="s">
        <v>193</v>
      </c>
      <c r="D45" s="64">
        <v>46195</v>
      </c>
    </row>
    <row r="46" spans="1:4" x14ac:dyDescent="0.3">
      <c r="A46" s="54" t="s">
        <v>178</v>
      </c>
      <c r="B46" s="10" t="s">
        <v>188</v>
      </c>
      <c r="C46" s="10" t="s">
        <v>194</v>
      </c>
      <c r="D46" s="64">
        <v>46178</v>
      </c>
    </row>
    <row r="47" spans="1:4" x14ac:dyDescent="0.3">
      <c r="A47" s="54" t="s">
        <v>156</v>
      </c>
      <c r="B47" s="10" t="s">
        <v>188</v>
      </c>
      <c r="C47" s="10" t="s">
        <v>193</v>
      </c>
      <c r="D47" s="64">
        <v>46181</v>
      </c>
    </row>
    <row r="48" spans="1:4" x14ac:dyDescent="0.3">
      <c r="A48" s="54" t="s">
        <v>171</v>
      </c>
      <c r="B48" s="10" t="s">
        <v>189</v>
      </c>
      <c r="C48" s="10" t="s">
        <v>194</v>
      </c>
      <c r="D48" s="64">
        <v>46201</v>
      </c>
    </row>
    <row r="49" spans="1:4" x14ac:dyDescent="0.3">
      <c r="A49" s="54" t="s">
        <v>166</v>
      </c>
      <c r="B49" s="10" t="s">
        <v>189</v>
      </c>
      <c r="C49" s="10" t="s">
        <v>193</v>
      </c>
      <c r="D49" s="64">
        <v>46190</v>
      </c>
    </row>
    <row r="50" spans="1:4" x14ac:dyDescent="0.3">
      <c r="A50" s="54" t="s">
        <v>169</v>
      </c>
      <c r="B50" s="10" t="s">
        <v>186</v>
      </c>
      <c r="C50" s="10" t="s">
        <v>194</v>
      </c>
      <c r="D50" s="64">
        <v>46190</v>
      </c>
    </row>
    <row r="51" spans="1:4" x14ac:dyDescent="0.3">
      <c r="A51" s="54" t="s">
        <v>160</v>
      </c>
      <c r="B51" s="10" t="s">
        <v>188</v>
      </c>
      <c r="C51" s="10" t="s">
        <v>194</v>
      </c>
      <c r="D51" s="64">
        <v>46185</v>
      </c>
    </row>
    <row r="52" spans="1:4" x14ac:dyDescent="0.3">
      <c r="A52" s="54" t="s">
        <v>155</v>
      </c>
      <c r="B52" s="10" t="s">
        <v>190</v>
      </c>
      <c r="C52" s="10" t="s">
        <v>194</v>
      </c>
      <c r="D52" s="64">
        <v>46196</v>
      </c>
    </row>
    <row r="53" spans="1:4" x14ac:dyDescent="0.3">
      <c r="A53" s="54" t="s">
        <v>174</v>
      </c>
      <c r="B53" s="10" t="s">
        <v>188</v>
      </c>
      <c r="C53" s="10" t="s">
        <v>194</v>
      </c>
      <c r="D53" s="64">
        <v>46201</v>
      </c>
    </row>
    <row r="54" spans="1:4" x14ac:dyDescent="0.3">
      <c r="A54" s="54" t="s">
        <v>171</v>
      </c>
      <c r="B54" s="10" t="s">
        <v>188</v>
      </c>
      <c r="C54" s="10" t="s">
        <v>194</v>
      </c>
      <c r="D54" s="64">
        <v>46184</v>
      </c>
    </row>
    <row r="55" spans="1:4" x14ac:dyDescent="0.3">
      <c r="A55" s="54" t="s">
        <v>155</v>
      </c>
      <c r="B55" s="10" t="s">
        <v>186</v>
      </c>
      <c r="C55" s="10" t="s">
        <v>194</v>
      </c>
      <c r="D55" s="64">
        <v>46195</v>
      </c>
    </row>
    <row r="56" spans="1:4" x14ac:dyDescent="0.3">
      <c r="A56" s="54" t="s">
        <v>180</v>
      </c>
      <c r="B56" s="10" t="s">
        <v>190</v>
      </c>
      <c r="C56" s="10" t="s">
        <v>193</v>
      </c>
      <c r="D56" s="64">
        <v>46203</v>
      </c>
    </row>
    <row r="57" spans="1:4" x14ac:dyDescent="0.3">
      <c r="A57" s="54" t="s">
        <v>169</v>
      </c>
      <c r="B57" s="10" t="s">
        <v>190</v>
      </c>
      <c r="C57" s="10" t="s">
        <v>194</v>
      </c>
      <c r="D57" s="64">
        <v>46185</v>
      </c>
    </row>
    <row r="58" spans="1:4" x14ac:dyDescent="0.3">
      <c r="A58" s="54" t="s">
        <v>168</v>
      </c>
      <c r="B58" s="10" t="s">
        <v>190</v>
      </c>
      <c r="C58" s="10" t="s">
        <v>194</v>
      </c>
      <c r="D58" s="64">
        <v>46187</v>
      </c>
    </row>
    <row r="59" spans="1:4" x14ac:dyDescent="0.3">
      <c r="A59" s="54" t="s">
        <v>154</v>
      </c>
      <c r="B59" s="10" t="s">
        <v>189</v>
      </c>
      <c r="C59" s="10" t="s">
        <v>193</v>
      </c>
      <c r="D59" s="64">
        <v>46197</v>
      </c>
    </row>
    <row r="60" spans="1:4" x14ac:dyDescent="0.3">
      <c r="A60" s="54" t="s">
        <v>178</v>
      </c>
      <c r="B60" s="10" t="s">
        <v>190</v>
      </c>
      <c r="C60" s="10" t="s">
        <v>194</v>
      </c>
      <c r="D60" s="64">
        <v>46202</v>
      </c>
    </row>
    <row r="61" spans="1:4" x14ac:dyDescent="0.3">
      <c r="A61" s="54" t="s">
        <v>163</v>
      </c>
      <c r="B61" s="10" t="s">
        <v>186</v>
      </c>
      <c r="C61" s="10" t="s">
        <v>194</v>
      </c>
      <c r="D61" s="64">
        <v>46190</v>
      </c>
    </row>
    <row r="62" spans="1:4" x14ac:dyDescent="0.3">
      <c r="A62" s="54" t="s">
        <v>174</v>
      </c>
      <c r="B62" s="10" t="s">
        <v>188</v>
      </c>
      <c r="C62" s="10" t="s">
        <v>194</v>
      </c>
      <c r="D62" s="64">
        <v>46203</v>
      </c>
    </row>
    <row r="63" spans="1:4" x14ac:dyDescent="0.3">
      <c r="A63" s="54" t="s">
        <v>163</v>
      </c>
      <c r="B63" s="10" t="s">
        <v>186</v>
      </c>
      <c r="C63" s="10" t="s">
        <v>194</v>
      </c>
      <c r="D63" s="64">
        <v>46189</v>
      </c>
    </row>
    <row r="64" spans="1:4" x14ac:dyDescent="0.3">
      <c r="A64" s="54" t="s">
        <v>177</v>
      </c>
      <c r="B64" s="10" t="s">
        <v>190</v>
      </c>
      <c r="C64" s="10" t="s">
        <v>193</v>
      </c>
      <c r="D64" s="64">
        <v>46179</v>
      </c>
    </row>
    <row r="65" spans="1:4" x14ac:dyDescent="0.3">
      <c r="A65" s="54" t="s">
        <v>162</v>
      </c>
      <c r="B65" s="10" t="s">
        <v>188</v>
      </c>
      <c r="C65" s="10" t="s">
        <v>194</v>
      </c>
      <c r="D65" s="64">
        <v>46196</v>
      </c>
    </row>
    <row r="66" spans="1:4" x14ac:dyDescent="0.3">
      <c r="A66" s="54" t="s">
        <v>178</v>
      </c>
      <c r="B66" s="10" t="s">
        <v>189</v>
      </c>
      <c r="C66" s="10" t="s">
        <v>194</v>
      </c>
      <c r="D66" s="64">
        <v>46195</v>
      </c>
    </row>
    <row r="67" spans="1:4" x14ac:dyDescent="0.3">
      <c r="A67" s="54" t="s">
        <v>160</v>
      </c>
      <c r="B67" s="10" t="s">
        <v>189</v>
      </c>
      <c r="C67" s="10" t="s">
        <v>194</v>
      </c>
      <c r="D67" s="64">
        <v>46178</v>
      </c>
    </row>
    <row r="68" spans="1:4" x14ac:dyDescent="0.3">
      <c r="A68" s="54" t="s">
        <v>173</v>
      </c>
      <c r="B68" s="10" t="s">
        <v>188</v>
      </c>
      <c r="C68" s="10" t="s">
        <v>194</v>
      </c>
      <c r="D68" s="64">
        <v>46183</v>
      </c>
    </row>
    <row r="69" spans="1:4" x14ac:dyDescent="0.3">
      <c r="A69" s="54" t="s">
        <v>161</v>
      </c>
      <c r="B69" s="10" t="s">
        <v>189</v>
      </c>
      <c r="C69" s="10" t="s">
        <v>194</v>
      </c>
      <c r="D69" s="64">
        <v>46191</v>
      </c>
    </row>
    <row r="70" spans="1:4" x14ac:dyDescent="0.3">
      <c r="A70" s="54" t="s">
        <v>180</v>
      </c>
      <c r="B70" s="10" t="s">
        <v>188</v>
      </c>
      <c r="C70" s="10" t="s">
        <v>193</v>
      </c>
      <c r="D70" s="64">
        <v>46182</v>
      </c>
    </row>
    <row r="71" spans="1:4" x14ac:dyDescent="0.3">
      <c r="A71" s="54" t="s">
        <v>164</v>
      </c>
      <c r="B71" s="10" t="s">
        <v>188</v>
      </c>
      <c r="C71" s="10" t="s">
        <v>193</v>
      </c>
      <c r="D71" s="64">
        <v>46196</v>
      </c>
    </row>
    <row r="72" spans="1:4" x14ac:dyDescent="0.3">
      <c r="A72" s="54" t="s">
        <v>171</v>
      </c>
      <c r="B72" s="10" t="s">
        <v>189</v>
      </c>
      <c r="C72" s="10" t="s">
        <v>193</v>
      </c>
      <c r="D72" s="64">
        <v>46196</v>
      </c>
    </row>
    <row r="73" spans="1:4" x14ac:dyDescent="0.3">
      <c r="A73" s="54" t="s">
        <v>170</v>
      </c>
      <c r="B73" s="10" t="s">
        <v>190</v>
      </c>
      <c r="C73" s="10" t="s">
        <v>193</v>
      </c>
      <c r="D73" s="64">
        <v>46200</v>
      </c>
    </row>
    <row r="74" spans="1:4" x14ac:dyDescent="0.3">
      <c r="A74" s="54" t="s">
        <v>155</v>
      </c>
      <c r="B74" s="10" t="s">
        <v>189</v>
      </c>
      <c r="C74" s="10" t="s">
        <v>193</v>
      </c>
      <c r="D74" s="64">
        <v>46175</v>
      </c>
    </row>
    <row r="75" spans="1:4" x14ac:dyDescent="0.3">
      <c r="A75" s="54" t="s">
        <v>158</v>
      </c>
      <c r="B75" s="10" t="s">
        <v>186</v>
      </c>
      <c r="C75" s="10" t="s">
        <v>194</v>
      </c>
      <c r="D75" s="64">
        <v>46182</v>
      </c>
    </row>
    <row r="76" spans="1:4" x14ac:dyDescent="0.3">
      <c r="A76" s="54" t="s">
        <v>167</v>
      </c>
      <c r="B76" s="10" t="s">
        <v>189</v>
      </c>
      <c r="C76" s="10" t="s">
        <v>193</v>
      </c>
      <c r="D76" s="64">
        <v>46188</v>
      </c>
    </row>
    <row r="77" spans="1:4" x14ac:dyDescent="0.3">
      <c r="A77" s="54" t="s">
        <v>177</v>
      </c>
      <c r="B77" s="10" t="s">
        <v>189</v>
      </c>
      <c r="C77" s="10" t="s">
        <v>194</v>
      </c>
      <c r="D77" s="64">
        <v>46174</v>
      </c>
    </row>
    <row r="78" spans="1:4" x14ac:dyDescent="0.3">
      <c r="A78" s="54" t="s">
        <v>157</v>
      </c>
      <c r="B78" s="10" t="s">
        <v>188</v>
      </c>
      <c r="C78" s="10" t="s">
        <v>194</v>
      </c>
      <c r="D78" s="64">
        <v>46187</v>
      </c>
    </row>
    <row r="79" spans="1:4" x14ac:dyDescent="0.3">
      <c r="A79" s="54" t="s">
        <v>191</v>
      </c>
      <c r="B79" s="10" t="s">
        <v>186</v>
      </c>
      <c r="C79" s="10" t="s">
        <v>193</v>
      </c>
      <c r="D79" s="64">
        <v>46183</v>
      </c>
    </row>
    <row r="80" spans="1:4" x14ac:dyDescent="0.3">
      <c r="A80" s="54" t="s">
        <v>177</v>
      </c>
      <c r="B80" s="10" t="s">
        <v>190</v>
      </c>
      <c r="C80" s="10" t="s">
        <v>194</v>
      </c>
      <c r="D80" s="64">
        <v>46193</v>
      </c>
    </row>
    <row r="81" spans="1:4" x14ac:dyDescent="0.3">
      <c r="A81" s="54" t="s">
        <v>158</v>
      </c>
      <c r="B81" s="10" t="s">
        <v>189</v>
      </c>
      <c r="C81" s="10" t="s">
        <v>194</v>
      </c>
      <c r="D81" s="64">
        <v>46174</v>
      </c>
    </row>
    <row r="82" spans="1:4" x14ac:dyDescent="0.3">
      <c r="A82" s="54" t="s">
        <v>182</v>
      </c>
      <c r="B82" s="10" t="s">
        <v>188</v>
      </c>
      <c r="C82" s="10" t="s">
        <v>193</v>
      </c>
      <c r="D82" s="64">
        <v>46203</v>
      </c>
    </row>
    <row r="83" spans="1:4" x14ac:dyDescent="0.3">
      <c r="A83" s="54" t="s">
        <v>173</v>
      </c>
      <c r="B83" s="10" t="s">
        <v>186</v>
      </c>
      <c r="C83" s="10" t="s">
        <v>193</v>
      </c>
      <c r="D83" s="64">
        <v>46196</v>
      </c>
    </row>
    <row r="84" spans="1:4" x14ac:dyDescent="0.3">
      <c r="A84" s="54" t="s">
        <v>157</v>
      </c>
      <c r="B84" s="10" t="s">
        <v>190</v>
      </c>
      <c r="C84" s="10" t="s">
        <v>193</v>
      </c>
      <c r="D84" s="64">
        <v>46179</v>
      </c>
    </row>
    <row r="85" spans="1:4" x14ac:dyDescent="0.3">
      <c r="A85" s="54" t="s">
        <v>158</v>
      </c>
      <c r="B85" s="10" t="s">
        <v>186</v>
      </c>
      <c r="C85" s="10" t="s">
        <v>194</v>
      </c>
      <c r="D85" s="64">
        <v>46201</v>
      </c>
    </row>
    <row r="86" spans="1:4" x14ac:dyDescent="0.3">
      <c r="A86" s="54" t="s">
        <v>169</v>
      </c>
      <c r="B86" s="10" t="s">
        <v>189</v>
      </c>
      <c r="C86" s="10" t="s">
        <v>194</v>
      </c>
      <c r="D86" s="64">
        <v>46190</v>
      </c>
    </row>
    <row r="87" spans="1:4" x14ac:dyDescent="0.3">
      <c r="A87" s="54" t="s">
        <v>181</v>
      </c>
      <c r="B87" s="10" t="s">
        <v>188</v>
      </c>
      <c r="C87" s="10" t="s">
        <v>194</v>
      </c>
      <c r="D87" s="64">
        <v>46174</v>
      </c>
    </row>
    <row r="88" spans="1:4" x14ac:dyDescent="0.3">
      <c r="A88" s="54" t="s">
        <v>160</v>
      </c>
      <c r="B88" s="10" t="s">
        <v>188</v>
      </c>
      <c r="C88" s="10" t="s">
        <v>194</v>
      </c>
      <c r="D88" s="64">
        <v>46191</v>
      </c>
    </row>
    <row r="89" spans="1:4" x14ac:dyDescent="0.3">
      <c r="A89" s="54" t="s">
        <v>168</v>
      </c>
      <c r="B89" s="10" t="s">
        <v>188</v>
      </c>
      <c r="C89" s="10" t="s">
        <v>194</v>
      </c>
      <c r="D89" s="64">
        <v>46192</v>
      </c>
    </row>
    <row r="90" spans="1:4" x14ac:dyDescent="0.3">
      <c r="A90" s="54" t="s">
        <v>163</v>
      </c>
      <c r="B90" s="10" t="s">
        <v>190</v>
      </c>
      <c r="C90" s="10" t="s">
        <v>194</v>
      </c>
      <c r="D90" s="64">
        <v>46179</v>
      </c>
    </row>
    <row r="91" spans="1:4" x14ac:dyDescent="0.3">
      <c r="A91" s="54" t="s">
        <v>155</v>
      </c>
      <c r="B91" s="10" t="s">
        <v>190</v>
      </c>
      <c r="C91" s="10" t="s">
        <v>194</v>
      </c>
      <c r="D91" s="64">
        <v>46186</v>
      </c>
    </row>
    <row r="92" spans="1:4" x14ac:dyDescent="0.3">
      <c r="A92" s="54" t="s">
        <v>180</v>
      </c>
      <c r="B92" s="10" t="s">
        <v>186</v>
      </c>
      <c r="C92" s="10" t="s">
        <v>194</v>
      </c>
      <c r="D92" s="64">
        <v>46176</v>
      </c>
    </row>
    <row r="93" spans="1:4" x14ac:dyDescent="0.3">
      <c r="A93" s="54" t="s">
        <v>172</v>
      </c>
      <c r="B93" s="10" t="s">
        <v>189</v>
      </c>
      <c r="C93" s="10" t="s">
        <v>193</v>
      </c>
      <c r="D93" s="64">
        <v>46191</v>
      </c>
    </row>
    <row r="94" spans="1:4" x14ac:dyDescent="0.3">
      <c r="A94" s="54" t="s">
        <v>154</v>
      </c>
      <c r="B94" s="10" t="s">
        <v>189</v>
      </c>
      <c r="C94" s="10" t="s">
        <v>194</v>
      </c>
      <c r="D94" s="64">
        <v>46198</v>
      </c>
    </row>
    <row r="95" spans="1:4" x14ac:dyDescent="0.3">
      <c r="A95" s="54" t="s">
        <v>181</v>
      </c>
      <c r="B95" s="10" t="s">
        <v>186</v>
      </c>
      <c r="C95" s="10" t="s">
        <v>193</v>
      </c>
      <c r="D95" s="64">
        <v>46197</v>
      </c>
    </row>
    <row r="96" spans="1:4" x14ac:dyDescent="0.3">
      <c r="A96" s="54" t="s">
        <v>172</v>
      </c>
      <c r="B96" s="10" t="s">
        <v>188</v>
      </c>
      <c r="C96" s="10" t="s">
        <v>194</v>
      </c>
      <c r="D96" s="64">
        <v>46191</v>
      </c>
    </row>
    <row r="97" spans="1:4" x14ac:dyDescent="0.3">
      <c r="A97" s="54" t="s">
        <v>182</v>
      </c>
      <c r="B97" s="10" t="s">
        <v>186</v>
      </c>
      <c r="C97" s="10" t="s">
        <v>193</v>
      </c>
      <c r="D97" s="64">
        <v>46187</v>
      </c>
    </row>
    <row r="98" spans="1:4" x14ac:dyDescent="0.3">
      <c r="A98" s="54" t="s">
        <v>158</v>
      </c>
      <c r="B98" s="10" t="s">
        <v>188</v>
      </c>
      <c r="C98" s="10" t="s">
        <v>193</v>
      </c>
      <c r="D98" s="64">
        <v>46178</v>
      </c>
    </row>
    <row r="99" spans="1:4" x14ac:dyDescent="0.3">
      <c r="A99" s="54" t="s">
        <v>179</v>
      </c>
      <c r="B99" s="10" t="s">
        <v>189</v>
      </c>
      <c r="C99" s="10" t="s">
        <v>193</v>
      </c>
      <c r="D99" s="64">
        <v>46197</v>
      </c>
    </row>
    <row r="100" spans="1:4" x14ac:dyDescent="0.3">
      <c r="A100" s="54" t="s">
        <v>171</v>
      </c>
      <c r="B100" s="10" t="s">
        <v>186</v>
      </c>
      <c r="C100" s="10" t="s">
        <v>193</v>
      </c>
      <c r="D100" s="64">
        <v>46195</v>
      </c>
    </row>
    <row r="101" spans="1:4" x14ac:dyDescent="0.3">
      <c r="A101" s="54" t="s">
        <v>177</v>
      </c>
      <c r="B101" s="10" t="s">
        <v>189</v>
      </c>
      <c r="C101" s="10" t="s">
        <v>193</v>
      </c>
      <c r="D101" s="64">
        <v>46184</v>
      </c>
    </row>
    <row r="102" spans="1:4" x14ac:dyDescent="0.3">
      <c r="A102" s="54" t="s">
        <v>176</v>
      </c>
      <c r="B102" s="10" t="s">
        <v>188</v>
      </c>
      <c r="C102" s="10" t="s">
        <v>193</v>
      </c>
      <c r="D102" s="64">
        <v>46178</v>
      </c>
    </row>
    <row r="103" spans="1:4" x14ac:dyDescent="0.3">
      <c r="A103" s="54" t="s">
        <v>160</v>
      </c>
      <c r="B103" s="10" t="s">
        <v>188</v>
      </c>
      <c r="C103" s="10" t="s">
        <v>194</v>
      </c>
      <c r="D103" s="64">
        <v>46180</v>
      </c>
    </row>
    <row r="104" spans="1:4" x14ac:dyDescent="0.3">
      <c r="A104" s="54" t="s">
        <v>154</v>
      </c>
      <c r="B104" s="10" t="s">
        <v>186</v>
      </c>
      <c r="C104" s="10" t="s">
        <v>194</v>
      </c>
      <c r="D104" s="64">
        <v>46174</v>
      </c>
    </row>
    <row r="105" spans="1:4" x14ac:dyDescent="0.3">
      <c r="A105" s="54" t="s">
        <v>156</v>
      </c>
      <c r="B105" s="10" t="s">
        <v>188</v>
      </c>
      <c r="C105" s="10" t="s">
        <v>193</v>
      </c>
      <c r="D105" s="64">
        <v>46181</v>
      </c>
    </row>
    <row r="106" spans="1:4" x14ac:dyDescent="0.3">
      <c r="A106" s="54" t="s">
        <v>156</v>
      </c>
      <c r="B106" s="10" t="s">
        <v>186</v>
      </c>
      <c r="C106" s="10" t="s">
        <v>193</v>
      </c>
      <c r="D106" s="64">
        <v>46176</v>
      </c>
    </row>
    <row r="107" spans="1:4" x14ac:dyDescent="0.3">
      <c r="A107" s="54" t="s">
        <v>166</v>
      </c>
      <c r="B107" s="10" t="s">
        <v>186</v>
      </c>
      <c r="C107" s="10" t="s">
        <v>193</v>
      </c>
      <c r="D107" s="64">
        <v>46185</v>
      </c>
    </row>
    <row r="108" spans="1:4" x14ac:dyDescent="0.3">
      <c r="A108" s="54" t="s">
        <v>191</v>
      </c>
      <c r="B108" s="10" t="s">
        <v>188</v>
      </c>
      <c r="C108" s="10" t="s">
        <v>193</v>
      </c>
      <c r="D108" s="64">
        <v>46185</v>
      </c>
    </row>
    <row r="109" spans="1:4" x14ac:dyDescent="0.3">
      <c r="A109" s="54" t="s">
        <v>166</v>
      </c>
      <c r="B109" s="10" t="s">
        <v>190</v>
      </c>
      <c r="C109" s="10" t="s">
        <v>193</v>
      </c>
      <c r="D109" s="64">
        <v>46194</v>
      </c>
    </row>
    <row r="110" spans="1:4" x14ac:dyDescent="0.3">
      <c r="A110" s="54" t="s">
        <v>175</v>
      </c>
      <c r="B110" s="10" t="s">
        <v>186</v>
      </c>
      <c r="C110" s="10" t="s">
        <v>193</v>
      </c>
      <c r="D110" s="64">
        <v>46188</v>
      </c>
    </row>
    <row r="111" spans="1:4" x14ac:dyDescent="0.3">
      <c r="A111" s="54" t="s">
        <v>160</v>
      </c>
      <c r="B111" s="10" t="s">
        <v>188</v>
      </c>
      <c r="C111" s="10" t="s">
        <v>193</v>
      </c>
      <c r="D111" s="64">
        <v>46188</v>
      </c>
    </row>
    <row r="112" spans="1:4" x14ac:dyDescent="0.3">
      <c r="A112" s="54" t="s">
        <v>181</v>
      </c>
      <c r="B112" s="10" t="s">
        <v>188</v>
      </c>
      <c r="C112" s="10" t="s">
        <v>194</v>
      </c>
      <c r="D112" s="64">
        <v>46185</v>
      </c>
    </row>
    <row r="113" spans="1:4" x14ac:dyDescent="0.3">
      <c r="A113" s="54" t="s">
        <v>157</v>
      </c>
      <c r="B113" s="10" t="s">
        <v>190</v>
      </c>
      <c r="C113" s="10" t="s">
        <v>193</v>
      </c>
      <c r="D113" s="64">
        <v>46194</v>
      </c>
    </row>
    <row r="114" spans="1:4" x14ac:dyDescent="0.3">
      <c r="A114" s="54" t="s">
        <v>163</v>
      </c>
      <c r="B114" s="10" t="s">
        <v>189</v>
      </c>
      <c r="C114" s="10" t="s">
        <v>193</v>
      </c>
      <c r="D114" s="64">
        <v>46188</v>
      </c>
    </row>
    <row r="115" spans="1:4" x14ac:dyDescent="0.3">
      <c r="A115" s="54" t="s">
        <v>167</v>
      </c>
      <c r="B115" s="10" t="s">
        <v>186</v>
      </c>
      <c r="C115" s="10" t="s">
        <v>193</v>
      </c>
      <c r="D115" s="64">
        <v>46193</v>
      </c>
    </row>
    <row r="116" spans="1:4" x14ac:dyDescent="0.3">
      <c r="A116" s="54" t="s">
        <v>191</v>
      </c>
      <c r="B116" s="10" t="s">
        <v>188</v>
      </c>
      <c r="C116" s="10" t="s">
        <v>194</v>
      </c>
      <c r="D116" s="64">
        <v>46181</v>
      </c>
    </row>
    <row r="117" spans="1:4" x14ac:dyDescent="0.3">
      <c r="A117" s="54" t="s">
        <v>163</v>
      </c>
      <c r="B117" s="10" t="s">
        <v>190</v>
      </c>
      <c r="C117" s="10" t="s">
        <v>193</v>
      </c>
      <c r="D117" s="64">
        <v>46184</v>
      </c>
    </row>
    <row r="118" spans="1:4" x14ac:dyDescent="0.3">
      <c r="A118" s="54" t="s">
        <v>156</v>
      </c>
      <c r="B118" s="10" t="s">
        <v>186</v>
      </c>
      <c r="C118" s="10" t="s">
        <v>194</v>
      </c>
      <c r="D118" s="64">
        <v>46183</v>
      </c>
    </row>
    <row r="119" spans="1:4" x14ac:dyDescent="0.3">
      <c r="A119" s="54" t="s">
        <v>162</v>
      </c>
      <c r="B119" s="10" t="s">
        <v>189</v>
      </c>
      <c r="C119" s="10" t="s">
        <v>193</v>
      </c>
      <c r="D119" s="64">
        <v>46192</v>
      </c>
    </row>
    <row r="120" spans="1:4" x14ac:dyDescent="0.3">
      <c r="A120" s="54" t="s">
        <v>176</v>
      </c>
      <c r="B120" s="10" t="s">
        <v>186</v>
      </c>
      <c r="C120" s="10" t="s">
        <v>194</v>
      </c>
      <c r="D120" s="64">
        <v>46200</v>
      </c>
    </row>
    <row r="121" spans="1:4" x14ac:dyDescent="0.3">
      <c r="A121" s="54" t="s">
        <v>161</v>
      </c>
      <c r="B121" s="10" t="s">
        <v>188</v>
      </c>
      <c r="C121" s="10" t="s">
        <v>194</v>
      </c>
      <c r="D121" s="64">
        <v>46186</v>
      </c>
    </row>
    <row r="122" spans="1:4" x14ac:dyDescent="0.3">
      <c r="A122" s="54" t="s">
        <v>178</v>
      </c>
      <c r="B122" s="10" t="s">
        <v>188</v>
      </c>
      <c r="C122" s="10" t="s">
        <v>194</v>
      </c>
      <c r="D122" s="64">
        <v>46181</v>
      </c>
    </row>
    <row r="123" spans="1:4" x14ac:dyDescent="0.3">
      <c r="A123" s="54" t="s">
        <v>169</v>
      </c>
      <c r="B123" s="10" t="s">
        <v>186</v>
      </c>
      <c r="C123" s="10" t="s">
        <v>193</v>
      </c>
      <c r="D123" s="64">
        <v>46182</v>
      </c>
    </row>
    <row r="124" spans="1:4" x14ac:dyDescent="0.3">
      <c r="A124" s="54" t="s">
        <v>165</v>
      </c>
      <c r="B124" s="10" t="s">
        <v>188</v>
      </c>
      <c r="C124" s="10" t="s">
        <v>193</v>
      </c>
      <c r="D124" s="64">
        <v>46193</v>
      </c>
    </row>
    <row r="125" spans="1:4" x14ac:dyDescent="0.3">
      <c r="A125" s="54" t="s">
        <v>157</v>
      </c>
      <c r="B125" s="10" t="s">
        <v>188</v>
      </c>
      <c r="C125" s="10" t="s">
        <v>194</v>
      </c>
      <c r="D125" s="64">
        <v>46178</v>
      </c>
    </row>
    <row r="126" spans="1:4" x14ac:dyDescent="0.3">
      <c r="A126" s="54" t="s">
        <v>180</v>
      </c>
      <c r="B126" s="10" t="s">
        <v>186</v>
      </c>
      <c r="C126" s="10" t="s">
        <v>193</v>
      </c>
      <c r="D126" s="64">
        <v>46181</v>
      </c>
    </row>
    <row r="127" spans="1:4" x14ac:dyDescent="0.3">
      <c r="A127" s="54" t="s">
        <v>175</v>
      </c>
      <c r="B127" s="10" t="s">
        <v>190</v>
      </c>
      <c r="C127" s="10" t="s">
        <v>193</v>
      </c>
      <c r="D127" s="64">
        <v>46183</v>
      </c>
    </row>
    <row r="128" spans="1:4" x14ac:dyDescent="0.3">
      <c r="A128" s="54" t="s">
        <v>159</v>
      </c>
      <c r="B128" s="10" t="s">
        <v>190</v>
      </c>
      <c r="C128" s="10" t="s">
        <v>193</v>
      </c>
      <c r="D128" s="64">
        <v>46184</v>
      </c>
    </row>
    <row r="129" spans="1:4" x14ac:dyDescent="0.3">
      <c r="A129" s="54" t="s">
        <v>175</v>
      </c>
      <c r="B129" s="10" t="s">
        <v>190</v>
      </c>
      <c r="C129" s="10" t="s">
        <v>194</v>
      </c>
      <c r="D129" s="64">
        <v>46187</v>
      </c>
    </row>
    <row r="130" spans="1:4" x14ac:dyDescent="0.3">
      <c r="A130" s="54" t="s">
        <v>161</v>
      </c>
      <c r="B130" s="10" t="s">
        <v>188</v>
      </c>
      <c r="C130" s="10" t="s">
        <v>194</v>
      </c>
      <c r="D130" s="64">
        <v>46198</v>
      </c>
    </row>
    <row r="131" spans="1:4" x14ac:dyDescent="0.3">
      <c r="A131" s="54" t="s">
        <v>171</v>
      </c>
      <c r="B131" s="10" t="s">
        <v>189</v>
      </c>
      <c r="C131" s="10" t="s">
        <v>193</v>
      </c>
      <c r="D131" s="64">
        <v>46181</v>
      </c>
    </row>
    <row r="132" spans="1:4" x14ac:dyDescent="0.3">
      <c r="A132" s="54" t="s">
        <v>166</v>
      </c>
      <c r="B132" s="10" t="s">
        <v>188</v>
      </c>
      <c r="C132" s="10" t="s">
        <v>193</v>
      </c>
      <c r="D132" s="64">
        <v>46190</v>
      </c>
    </row>
    <row r="133" spans="1:4" x14ac:dyDescent="0.3">
      <c r="A133" s="54" t="s">
        <v>173</v>
      </c>
      <c r="B133" s="10" t="s">
        <v>190</v>
      </c>
      <c r="C133" s="10" t="s">
        <v>194</v>
      </c>
      <c r="D133" s="64">
        <v>46178</v>
      </c>
    </row>
    <row r="134" spans="1:4" x14ac:dyDescent="0.3">
      <c r="A134" s="54" t="s">
        <v>176</v>
      </c>
      <c r="B134" s="10" t="s">
        <v>190</v>
      </c>
      <c r="C134" s="10" t="s">
        <v>194</v>
      </c>
      <c r="D134" s="64">
        <v>46197</v>
      </c>
    </row>
    <row r="135" spans="1:4" x14ac:dyDescent="0.3">
      <c r="A135" s="54" t="s">
        <v>159</v>
      </c>
      <c r="B135" s="10" t="s">
        <v>188</v>
      </c>
      <c r="C135" s="10" t="s">
        <v>194</v>
      </c>
      <c r="D135" s="64">
        <v>46201</v>
      </c>
    </row>
    <row r="136" spans="1:4" x14ac:dyDescent="0.3">
      <c r="A136" s="54" t="s">
        <v>157</v>
      </c>
      <c r="B136" s="10" t="s">
        <v>186</v>
      </c>
      <c r="C136" s="10" t="s">
        <v>193</v>
      </c>
      <c r="D136" s="64">
        <v>46191</v>
      </c>
    </row>
    <row r="137" spans="1:4" x14ac:dyDescent="0.3">
      <c r="A137" s="54" t="s">
        <v>161</v>
      </c>
      <c r="B137" s="10" t="s">
        <v>188</v>
      </c>
      <c r="C137" s="10" t="s">
        <v>194</v>
      </c>
      <c r="D137" s="64">
        <v>46192</v>
      </c>
    </row>
    <row r="138" spans="1:4" x14ac:dyDescent="0.3">
      <c r="A138" s="54" t="s">
        <v>166</v>
      </c>
      <c r="B138" s="10" t="s">
        <v>188</v>
      </c>
      <c r="C138" s="10" t="s">
        <v>193</v>
      </c>
      <c r="D138" s="64">
        <v>46198</v>
      </c>
    </row>
    <row r="139" spans="1:4" x14ac:dyDescent="0.3">
      <c r="A139" s="54" t="s">
        <v>155</v>
      </c>
      <c r="B139" s="10" t="s">
        <v>186</v>
      </c>
      <c r="C139" s="10" t="s">
        <v>193</v>
      </c>
      <c r="D139" s="64">
        <v>46200</v>
      </c>
    </row>
    <row r="140" spans="1:4" x14ac:dyDescent="0.3">
      <c r="A140" s="54" t="s">
        <v>177</v>
      </c>
      <c r="B140" s="10" t="s">
        <v>190</v>
      </c>
      <c r="C140" s="10" t="s">
        <v>193</v>
      </c>
      <c r="D140" s="64">
        <v>46186</v>
      </c>
    </row>
    <row r="141" spans="1:4" x14ac:dyDescent="0.3">
      <c r="A141" s="54" t="s">
        <v>158</v>
      </c>
      <c r="B141" s="10" t="s">
        <v>188</v>
      </c>
      <c r="C141" s="10" t="s">
        <v>194</v>
      </c>
      <c r="D141" s="64">
        <v>46200</v>
      </c>
    </row>
    <row r="142" spans="1:4" x14ac:dyDescent="0.3">
      <c r="A142" s="54" t="s">
        <v>179</v>
      </c>
      <c r="B142" s="10" t="s">
        <v>190</v>
      </c>
      <c r="C142" s="10" t="s">
        <v>193</v>
      </c>
      <c r="D142" s="64">
        <v>46187</v>
      </c>
    </row>
    <row r="143" spans="1:4" x14ac:dyDescent="0.3">
      <c r="A143" s="54" t="s">
        <v>182</v>
      </c>
      <c r="B143" s="10" t="s">
        <v>190</v>
      </c>
      <c r="C143" s="10" t="s">
        <v>193</v>
      </c>
      <c r="D143" s="64">
        <v>46176</v>
      </c>
    </row>
    <row r="144" spans="1:4" x14ac:dyDescent="0.3">
      <c r="A144" s="54" t="s">
        <v>181</v>
      </c>
      <c r="B144" s="10" t="s">
        <v>188</v>
      </c>
      <c r="C144" s="10" t="s">
        <v>193</v>
      </c>
      <c r="D144" s="64">
        <v>46201</v>
      </c>
    </row>
    <row r="145" spans="1:4" x14ac:dyDescent="0.3">
      <c r="A145" s="54" t="s">
        <v>158</v>
      </c>
      <c r="B145" s="10" t="s">
        <v>186</v>
      </c>
      <c r="C145" s="10" t="s">
        <v>193</v>
      </c>
      <c r="D145" s="64">
        <v>46196</v>
      </c>
    </row>
    <row r="146" spans="1:4" x14ac:dyDescent="0.3">
      <c r="A146" s="54" t="s">
        <v>157</v>
      </c>
      <c r="B146" s="10" t="s">
        <v>186</v>
      </c>
      <c r="C146" s="10" t="s">
        <v>194</v>
      </c>
      <c r="D146" s="64">
        <v>46192</v>
      </c>
    </row>
    <row r="147" spans="1:4" x14ac:dyDescent="0.3">
      <c r="A147" s="54" t="s">
        <v>158</v>
      </c>
      <c r="B147" s="10" t="s">
        <v>188</v>
      </c>
      <c r="C147" s="10" t="s">
        <v>194</v>
      </c>
      <c r="D147" s="64">
        <v>46180</v>
      </c>
    </row>
    <row r="148" spans="1:4" x14ac:dyDescent="0.3">
      <c r="A148" s="54" t="s">
        <v>175</v>
      </c>
      <c r="B148" s="10" t="s">
        <v>189</v>
      </c>
      <c r="C148" s="10" t="s">
        <v>193</v>
      </c>
      <c r="D148" s="64">
        <v>46191</v>
      </c>
    </row>
    <row r="149" spans="1:4" x14ac:dyDescent="0.3">
      <c r="A149" s="54" t="s">
        <v>174</v>
      </c>
      <c r="B149" s="10" t="s">
        <v>188</v>
      </c>
      <c r="C149" s="10" t="s">
        <v>193</v>
      </c>
      <c r="D149" s="64">
        <v>46174</v>
      </c>
    </row>
    <row r="150" spans="1:4" x14ac:dyDescent="0.3">
      <c r="A150" s="54" t="s">
        <v>174</v>
      </c>
      <c r="B150" s="10" t="s">
        <v>189</v>
      </c>
      <c r="C150" s="10" t="s">
        <v>193</v>
      </c>
      <c r="D150" s="64">
        <v>46183</v>
      </c>
    </row>
    <row r="151" spans="1:4" x14ac:dyDescent="0.3">
      <c r="A151" s="54" t="s">
        <v>154</v>
      </c>
      <c r="B151" s="10" t="s">
        <v>189</v>
      </c>
      <c r="C151" s="10" t="s">
        <v>193</v>
      </c>
      <c r="D151" s="64">
        <v>46175</v>
      </c>
    </row>
    <row r="152" spans="1:4" x14ac:dyDescent="0.3">
      <c r="A152" s="38" t="s">
        <v>168</v>
      </c>
      <c r="B152" s="56" t="s">
        <v>189</v>
      </c>
      <c r="C152" s="56" t="s">
        <v>193</v>
      </c>
      <c r="D152" s="65">
        <v>46174</v>
      </c>
    </row>
  </sheetData>
  <mergeCells count="4">
    <mergeCell ref="G2:K10"/>
    <mergeCell ref="G13:K14"/>
    <mergeCell ref="F13:F14"/>
    <mergeCell ref="G18:M19"/>
  </mergeCell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51"/>
  <sheetViews>
    <sheetView workbookViewId="0">
      <selection activeCell="M51" sqref="M51"/>
    </sheetView>
  </sheetViews>
  <sheetFormatPr defaultColWidth="15.6640625" defaultRowHeight="14.4" x14ac:dyDescent="0.3"/>
  <sheetData>
    <row r="1" spans="1:10" ht="15" thickBot="1" x14ac:dyDescent="0.35">
      <c r="A1" s="57" t="s">
        <v>1</v>
      </c>
      <c r="B1" s="58" t="s">
        <v>2</v>
      </c>
      <c r="C1" s="59" t="s">
        <v>3</v>
      </c>
    </row>
    <row r="2" spans="1:10" x14ac:dyDescent="0.3">
      <c r="A2" s="54" t="s">
        <v>9</v>
      </c>
      <c r="B2" s="10" t="s">
        <v>8</v>
      </c>
      <c r="C2" s="55">
        <v>70203</v>
      </c>
      <c r="F2" s="98" t="s">
        <v>369</v>
      </c>
      <c r="G2" s="99"/>
      <c r="H2" s="99"/>
      <c r="I2" s="99"/>
      <c r="J2" s="100"/>
    </row>
    <row r="3" spans="1:10" x14ac:dyDescent="0.3">
      <c r="A3" s="54" t="s">
        <v>9</v>
      </c>
      <c r="B3" s="10" t="s">
        <v>5</v>
      </c>
      <c r="C3" s="55">
        <v>128848</v>
      </c>
      <c r="F3" s="101"/>
      <c r="G3" s="102"/>
      <c r="H3" s="102"/>
      <c r="I3" s="102"/>
      <c r="J3" s="103"/>
    </row>
    <row r="4" spans="1:10" x14ac:dyDescent="0.3">
      <c r="A4" s="54" t="s">
        <v>11</v>
      </c>
      <c r="B4" s="10" t="s">
        <v>5</v>
      </c>
      <c r="C4" s="55">
        <v>61870</v>
      </c>
      <c r="F4" s="101"/>
      <c r="G4" s="102"/>
      <c r="H4" s="102"/>
      <c r="I4" s="102"/>
      <c r="J4" s="103"/>
    </row>
    <row r="5" spans="1:10" x14ac:dyDescent="0.3">
      <c r="A5" s="54" t="s">
        <v>9</v>
      </c>
      <c r="B5" s="10" t="s">
        <v>6</v>
      </c>
      <c r="C5" s="55">
        <v>36786</v>
      </c>
      <c r="F5" s="101"/>
      <c r="G5" s="102"/>
      <c r="H5" s="102"/>
      <c r="I5" s="102"/>
      <c r="J5" s="103"/>
    </row>
    <row r="6" spans="1:10" ht="15" thickBot="1" x14ac:dyDescent="0.35">
      <c r="A6" s="54" t="s">
        <v>11</v>
      </c>
      <c r="B6" s="10" t="s">
        <v>10</v>
      </c>
      <c r="C6" s="55">
        <v>16289</v>
      </c>
      <c r="F6" s="104"/>
      <c r="G6" s="105"/>
      <c r="H6" s="105"/>
      <c r="I6" s="105"/>
      <c r="J6" s="106"/>
    </row>
    <row r="7" spans="1:10" ht="15" thickBot="1" x14ac:dyDescent="0.35">
      <c r="A7" s="54" t="s">
        <v>11</v>
      </c>
      <c r="B7" s="10" t="s">
        <v>6</v>
      </c>
      <c r="C7" s="55">
        <v>52998</v>
      </c>
    </row>
    <row r="8" spans="1:10" x14ac:dyDescent="0.3">
      <c r="A8" s="54" t="s">
        <v>4</v>
      </c>
      <c r="B8" s="10" t="s">
        <v>5</v>
      </c>
      <c r="C8" s="55">
        <v>17717</v>
      </c>
      <c r="E8" s="145" t="s">
        <v>364</v>
      </c>
      <c r="F8" s="139">
        <f>_xlfn.MAXIFS(Table12[Sales Amount],Table12[Product],"Laptop",Table12[Region],"Dhaka")</f>
        <v>127674</v>
      </c>
      <c r="G8" s="140"/>
      <c r="H8" s="140"/>
      <c r="I8" s="140"/>
      <c r="J8" s="141"/>
    </row>
    <row r="9" spans="1:10" ht="15" thickBot="1" x14ac:dyDescent="0.35">
      <c r="A9" s="54" t="s">
        <v>9</v>
      </c>
      <c r="B9" s="10" t="s">
        <v>8</v>
      </c>
      <c r="C9" s="55">
        <v>126556</v>
      </c>
      <c r="E9" s="145"/>
      <c r="F9" s="142"/>
      <c r="G9" s="143"/>
      <c r="H9" s="143"/>
      <c r="I9" s="143"/>
      <c r="J9" s="144"/>
    </row>
    <row r="10" spans="1:10" x14ac:dyDescent="0.3">
      <c r="A10" s="54" t="s">
        <v>7</v>
      </c>
      <c r="B10" s="10" t="s">
        <v>5</v>
      </c>
      <c r="C10" s="55">
        <v>88718</v>
      </c>
    </row>
    <row r="11" spans="1:10" x14ac:dyDescent="0.3">
      <c r="A11" s="54" t="s">
        <v>4</v>
      </c>
      <c r="B11" s="10" t="s">
        <v>5</v>
      </c>
      <c r="C11" s="55">
        <v>82957</v>
      </c>
    </row>
    <row r="12" spans="1:10" x14ac:dyDescent="0.3">
      <c r="A12" s="54" t="s">
        <v>11</v>
      </c>
      <c r="B12" s="10" t="s">
        <v>8</v>
      </c>
      <c r="C12" s="55">
        <v>24111</v>
      </c>
      <c r="F12" s="122" t="s">
        <v>754</v>
      </c>
      <c r="G12" s="122"/>
      <c r="H12" s="122"/>
      <c r="I12" s="122"/>
      <c r="J12" s="122"/>
    </row>
    <row r="13" spans="1:10" x14ac:dyDescent="0.3">
      <c r="A13" s="54" t="s">
        <v>7</v>
      </c>
      <c r="B13" s="10" t="s">
        <v>10</v>
      </c>
      <c r="C13" s="55">
        <v>46772</v>
      </c>
    </row>
    <row r="14" spans="1:10" x14ac:dyDescent="0.3">
      <c r="A14" s="54" t="s">
        <v>7</v>
      </c>
      <c r="B14" s="10" t="s">
        <v>10</v>
      </c>
      <c r="C14" s="55">
        <v>85024</v>
      </c>
    </row>
    <row r="15" spans="1:10" x14ac:dyDescent="0.3">
      <c r="A15" s="54" t="s">
        <v>11</v>
      </c>
      <c r="B15" s="10" t="s">
        <v>8</v>
      </c>
      <c r="C15" s="55">
        <v>62920</v>
      </c>
    </row>
    <row r="16" spans="1:10" x14ac:dyDescent="0.3">
      <c r="A16" s="54" t="s">
        <v>9</v>
      </c>
      <c r="B16" s="10" t="s">
        <v>10</v>
      </c>
      <c r="C16" s="55">
        <v>66887</v>
      </c>
    </row>
    <row r="17" spans="1:3" x14ac:dyDescent="0.3">
      <c r="A17" s="54" t="s">
        <v>11</v>
      </c>
      <c r="B17" s="10" t="s">
        <v>5</v>
      </c>
      <c r="C17" s="55">
        <v>114226</v>
      </c>
    </row>
    <row r="18" spans="1:3" x14ac:dyDescent="0.3">
      <c r="A18" s="54" t="s">
        <v>11</v>
      </c>
      <c r="B18" s="10" t="s">
        <v>10</v>
      </c>
      <c r="C18" s="55">
        <v>30450</v>
      </c>
    </row>
    <row r="19" spans="1:3" x14ac:dyDescent="0.3">
      <c r="A19" s="54" t="s">
        <v>4</v>
      </c>
      <c r="B19" s="10" t="s">
        <v>5</v>
      </c>
      <c r="C19" s="55">
        <v>61625</v>
      </c>
    </row>
    <row r="20" spans="1:3" x14ac:dyDescent="0.3">
      <c r="A20" s="54" t="s">
        <v>7</v>
      </c>
      <c r="B20" s="10" t="s">
        <v>5</v>
      </c>
      <c r="C20" s="55">
        <v>120411</v>
      </c>
    </row>
    <row r="21" spans="1:3" x14ac:dyDescent="0.3">
      <c r="A21" s="54" t="s">
        <v>7</v>
      </c>
      <c r="B21" s="10" t="s">
        <v>8</v>
      </c>
      <c r="C21" s="55">
        <v>66359</v>
      </c>
    </row>
    <row r="22" spans="1:3" x14ac:dyDescent="0.3">
      <c r="A22" s="54" t="s">
        <v>9</v>
      </c>
      <c r="B22" s="10" t="s">
        <v>10</v>
      </c>
      <c r="C22" s="55">
        <v>122766</v>
      </c>
    </row>
    <row r="23" spans="1:3" x14ac:dyDescent="0.3">
      <c r="A23" s="54" t="s">
        <v>7</v>
      </c>
      <c r="B23" s="10" t="s">
        <v>8</v>
      </c>
      <c r="C23" s="55">
        <v>91305</v>
      </c>
    </row>
    <row r="24" spans="1:3" x14ac:dyDescent="0.3">
      <c r="A24" s="54" t="s">
        <v>7</v>
      </c>
      <c r="B24" s="10" t="s">
        <v>8</v>
      </c>
      <c r="C24" s="55">
        <v>108512</v>
      </c>
    </row>
    <row r="25" spans="1:3" x14ac:dyDescent="0.3">
      <c r="A25" s="54" t="s">
        <v>7</v>
      </c>
      <c r="B25" s="10" t="s">
        <v>8</v>
      </c>
      <c r="C25" s="55">
        <v>70486</v>
      </c>
    </row>
    <row r="26" spans="1:3" x14ac:dyDescent="0.3">
      <c r="A26" s="54" t="s">
        <v>9</v>
      </c>
      <c r="B26" s="10" t="s">
        <v>8</v>
      </c>
      <c r="C26" s="55">
        <v>11256</v>
      </c>
    </row>
    <row r="27" spans="1:3" x14ac:dyDescent="0.3">
      <c r="A27" s="54" t="s">
        <v>7</v>
      </c>
      <c r="B27" s="10" t="s">
        <v>8</v>
      </c>
      <c r="C27" s="55">
        <v>34426</v>
      </c>
    </row>
    <row r="28" spans="1:3" x14ac:dyDescent="0.3">
      <c r="A28" s="54" t="s">
        <v>4</v>
      </c>
      <c r="B28" s="10" t="s">
        <v>8</v>
      </c>
      <c r="C28" s="55">
        <v>54867</v>
      </c>
    </row>
    <row r="29" spans="1:3" x14ac:dyDescent="0.3">
      <c r="A29" s="54" t="s">
        <v>9</v>
      </c>
      <c r="B29" s="10" t="s">
        <v>5</v>
      </c>
      <c r="C29" s="55">
        <v>111895</v>
      </c>
    </row>
    <row r="30" spans="1:3" x14ac:dyDescent="0.3">
      <c r="A30" s="54" t="s">
        <v>7</v>
      </c>
      <c r="B30" s="10" t="s">
        <v>10</v>
      </c>
      <c r="C30" s="55">
        <v>128880</v>
      </c>
    </row>
    <row r="31" spans="1:3" x14ac:dyDescent="0.3">
      <c r="A31" s="54" t="s">
        <v>11</v>
      </c>
      <c r="B31" s="10" t="s">
        <v>5</v>
      </c>
      <c r="C31" s="55">
        <v>48969</v>
      </c>
    </row>
    <row r="32" spans="1:3" x14ac:dyDescent="0.3">
      <c r="A32" s="54" t="s">
        <v>11</v>
      </c>
      <c r="B32" s="10" t="s">
        <v>5</v>
      </c>
      <c r="C32" s="55">
        <v>95246</v>
      </c>
    </row>
    <row r="33" spans="1:3" x14ac:dyDescent="0.3">
      <c r="A33" s="54" t="s">
        <v>7</v>
      </c>
      <c r="B33" s="10" t="s">
        <v>8</v>
      </c>
      <c r="C33" s="55">
        <v>89514</v>
      </c>
    </row>
    <row r="34" spans="1:3" x14ac:dyDescent="0.3">
      <c r="A34" s="54" t="s">
        <v>9</v>
      </c>
      <c r="B34" s="10" t="s">
        <v>8</v>
      </c>
      <c r="C34" s="55">
        <v>69883</v>
      </c>
    </row>
    <row r="35" spans="1:3" x14ac:dyDescent="0.3">
      <c r="A35" s="54" t="s">
        <v>4</v>
      </c>
      <c r="B35" s="10" t="s">
        <v>8</v>
      </c>
      <c r="C35" s="55">
        <v>89419</v>
      </c>
    </row>
    <row r="36" spans="1:3" x14ac:dyDescent="0.3">
      <c r="A36" s="54" t="s">
        <v>11</v>
      </c>
      <c r="B36" s="10" t="s">
        <v>8</v>
      </c>
      <c r="C36" s="55">
        <v>24901</v>
      </c>
    </row>
    <row r="37" spans="1:3" x14ac:dyDescent="0.3">
      <c r="A37" s="54" t="s">
        <v>9</v>
      </c>
      <c r="B37" s="10" t="s">
        <v>10</v>
      </c>
      <c r="C37" s="55">
        <v>148321</v>
      </c>
    </row>
    <row r="38" spans="1:3" x14ac:dyDescent="0.3">
      <c r="A38" s="54" t="s">
        <v>4</v>
      </c>
      <c r="B38" s="10" t="s">
        <v>6</v>
      </c>
      <c r="C38" s="55">
        <v>120300</v>
      </c>
    </row>
    <row r="39" spans="1:3" x14ac:dyDescent="0.3">
      <c r="A39" s="54" t="s">
        <v>4</v>
      </c>
      <c r="B39" s="10" t="s">
        <v>6</v>
      </c>
      <c r="C39" s="55">
        <v>87460</v>
      </c>
    </row>
    <row r="40" spans="1:3" x14ac:dyDescent="0.3">
      <c r="A40" s="54" t="s">
        <v>11</v>
      </c>
      <c r="B40" s="10" t="s">
        <v>5</v>
      </c>
      <c r="C40" s="55">
        <v>78069</v>
      </c>
    </row>
    <row r="41" spans="1:3" x14ac:dyDescent="0.3">
      <c r="A41" s="54" t="s">
        <v>11</v>
      </c>
      <c r="B41" s="10" t="s">
        <v>10</v>
      </c>
      <c r="C41" s="55">
        <v>17026</v>
      </c>
    </row>
    <row r="42" spans="1:3" x14ac:dyDescent="0.3">
      <c r="A42" s="54" t="s">
        <v>11</v>
      </c>
      <c r="B42" s="10" t="s">
        <v>6</v>
      </c>
      <c r="C42" s="55">
        <v>94891</v>
      </c>
    </row>
    <row r="43" spans="1:3" x14ac:dyDescent="0.3">
      <c r="A43" s="54" t="s">
        <v>7</v>
      </c>
      <c r="B43" s="10" t="s">
        <v>6</v>
      </c>
      <c r="C43" s="55">
        <v>71491</v>
      </c>
    </row>
    <row r="44" spans="1:3" x14ac:dyDescent="0.3">
      <c r="A44" s="54" t="s">
        <v>4</v>
      </c>
      <c r="B44" s="10" t="s">
        <v>10</v>
      </c>
      <c r="C44" s="55">
        <v>114714</v>
      </c>
    </row>
    <row r="45" spans="1:3" x14ac:dyDescent="0.3">
      <c r="A45" s="54" t="s">
        <v>7</v>
      </c>
      <c r="B45" s="10" t="s">
        <v>8</v>
      </c>
      <c r="C45" s="55">
        <v>56441</v>
      </c>
    </row>
    <row r="46" spans="1:3" x14ac:dyDescent="0.3">
      <c r="A46" s="54" t="s">
        <v>9</v>
      </c>
      <c r="B46" s="10" t="s">
        <v>8</v>
      </c>
      <c r="C46" s="55">
        <v>59754</v>
      </c>
    </row>
    <row r="47" spans="1:3" x14ac:dyDescent="0.3">
      <c r="A47" s="54" t="s">
        <v>4</v>
      </c>
      <c r="B47" s="10" t="s">
        <v>8</v>
      </c>
      <c r="C47" s="55">
        <v>17627</v>
      </c>
    </row>
    <row r="48" spans="1:3" x14ac:dyDescent="0.3">
      <c r="A48" s="54" t="s">
        <v>4</v>
      </c>
      <c r="B48" s="10" t="s">
        <v>5</v>
      </c>
      <c r="C48" s="55">
        <v>44482</v>
      </c>
    </row>
    <row r="49" spans="1:3" x14ac:dyDescent="0.3">
      <c r="A49" s="54" t="s">
        <v>7</v>
      </c>
      <c r="B49" s="10" t="s">
        <v>10</v>
      </c>
      <c r="C49" s="55">
        <v>52866</v>
      </c>
    </row>
    <row r="50" spans="1:3" x14ac:dyDescent="0.3">
      <c r="A50" s="54" t="s">
        <v>9</v>
      </c>
      <c r="B50" s="10" t="s">
        <v>5</v>
      </c>
      <c r="C50" s="55">
        <v>121407</v>
      </c>
    </row>
    <row r="51" spans="1:3" x14ac:dyDescent="0.3">
      <c r="A51" s="54" t="s">
        <v>11</v>
      </c>
      <c r="B51" s="10" t="s">
        <v>10</v>
      </c>
      <c r="C51" s="55">
        <v>92761</v>
      </c>
    </row>
    <row r="52" spans="1:3" x14ac:dyDescent="0.3">
      <c r="A52" s="54" t="s">
        <v>9</v>
      </c>
      <c r="B52" s="10" t="s">
        <v>8</v>
      </c>
      <c r="C52" s="55">
        <v>45427</v>
      </c>
    </row>
    <row r="53" spans="1:3" x14ac:dyDescent="0.3">
      <c r="A53" s="54" t="s">
        <v>11</v>
      </c>
      <c r="B53" s="10" t="s">
        <v>8</v>
      </c>
      <c r="C53" s="55">
        <v>89637</v>
      </c>
    </row>
    <row r="54" spans="1:3" x14ac:dyDescent="0.3">
      <c r="A54" s="54" t="s">
        <v>7</v>
      </c>
      <c r="B54" s="10" t="s">
        <v>10</v>
      </c>
      <c r="C54" s="55">
        <v>126948</v>
      </c>
    </row>
    <row r="55" spans="1:3" x14ac:dyDescent="0.3">
      <c r="A55" s="54" t="s">
        <v>11</v>
      </c>
      <c r="B55" s="10" t="s">
        <v>8</v>
      </c>
      <c r="C55" s="55">
        <v>24502</v>
      </c>
    </row>
    <row r="56" spans="1:3" x14ac:dyDescent="0.3">
      <c r="A56" s="54" t="s">
        <v>7</v>
      </c>
      <c r="B56" s="10" t="s">
        <v>10</v>
      </c>
      <c r="C56" s="55">
        <v>11243</v>
      </c>
    </row>
    <row r="57" spans="1:3" x14ac:dyDescent="0.3">
      <c r="A57" s="54" t="s">
        <v>7</v>
      </c>
      <c r="B57" s="10" t="s">
        <v>10</v>
      </c>
      <c r="C57" s="55">
        <v>124039</v>
      </c>
    </row>
    <row r="58" spans="1:3" x14ac:dyDescent="0.3">
      <c r="A58" s="54" t="s">
        <v>9</v>
      </c>
      <c r="B58" s="10" t="s">
        <v>6</v>
      </c>
      <c r="C58" s="55">
        <v>142090</v>
      </c>
    </row>
    <row r="59" spans="1:3" x14ac:dyDescent="0.3">
      <c r="A59" s="54" t="s">
        <v>7</v>
      </c>
      <c r="B59" s="10" t="s">
        <v>5</v>
      </c>
      <c r="C59" s="55">
        <v>70651</v>
      </c>
    </row>
    <row r="60" spans="1:3" x14ac:dyDescent="0.3">
      <c r="A60" s="54" t="s">
        <v>9</v>
      </c>
      <c r="B60" s="10" t="s">
        <v>6</v>
      </c>
      <c r="C60" s="55">
        <v>83806</v>
      </c>
    </row>
    <row r="61" spans="1:3" x14ac:dyDescent="0.3">
      <c r="A61" s="54" t="s">
        <v>4</v>
      </c>
      <c r="B61" s="10" t="s">
        <v>10</v>
      </c>
      <c r="C61" s="55">
        <v>108560</v>
      </c>
    </row>
    <row r="62" spans="1:3" x14ac:dyDescent="0.3">
      <c r="A62" s="54" t="s">
        <v>7</v>
      </c>
      <c r="B62" s="10" t="s">
        <v>10</v>
      </c>
      <c r="C62" s="55">
        <v>132764</v>
      </c>
    </row>
    <row r="63" spans="1:3" x14ac:dyDescent="0.3">
      <c r="A63" s="54" t="s">
        <v>7</v>
      </c>
      <c r="B63" s="10" t="s">
        <v>8</v>
      </c>
      <c r="C63" s="55">
        <v>55407</v>
      </c>
    </row>
    <row r="64" spans="1:3" x14ac:dyDescent="0.3">
      <c r="A64" s="54" t="s">
        <v>4</v>
      </c>
      <c r="B64" s="10" t="s">
        <v>8</v>
      </c>
      <c r="C64" s="55">
        <v>68900</v>
      </c>
    </row>
    <row r="65" spans="1:3" x14ac:dyDescent="0.3">
      <c r="A65" s="54" t="s">
        <v>9</v>
      </c>
      <c r="B65" s="10" t="s">
        <v>5</v>
      </c>
      <c r="C65" s="55">
        <v>140839</v>
      </c>
    </row>
    <row r="66" spans="1:3" x14ac:dyDescent="0.3">
      <c r="A66" s="54" t="s">
        <v>7</v>
      </c>
      <c r="B66" s="10" t="s">
        <v>6</v>
      </c>
      <c r="C66" s="55">
        <v>79841</v>
      </c>
    </row>
    <row r="67" spans="1:3" x14ac:dyDescent="0.3">
      <c r="A67" s="54" t="s">
        <v>7</v>
      </c>
      <c r="B67" s="10" t="s">
        <v>10</v>
      </c>
      <c r="C67" s="55">
        <v>127636</v>
      </c>
    </row>
    <row r="68" spans="1:3" x14ac:dyDescent="0.3">
      <c r="A68" s="54" t="s">
        <v>9</v>
      </c>
      <c r="B68" s="10" t="s">
        <v>10</v>
      </c>
      <c r="C68" s="55">
        <v>137516</v>
      </c>
    </row>
    <row r="69" spans="1:3" x14ac:dyDescent="0.3">
      <c r="A69" s="54" t="s">
        <v>11</v>
      </c>
      <c r="B69" s="10" t="s">
        <v>8</v>
      </c>
      <c r="C69" s="55">
        <v>103791</v>
      </c>
    </row>
    <row r="70" spans="1:3" x14ac:dyDescent="0.3">
      <c r="A70" s="54" t="s">
        <v>4</v>
      </c>
      <c r="B70" s="10" t="s">
        <v>6</v>
      </c>
      <c r="C70" s="55">
        <v>11475</v>
      </c>
    </row>
    <row r="71" spans="1:3" x14ac:dyDescent="0.3">
      <c r="A71" s="54" t="s">
        <v>7</v>
      </c>
      <c r="B71" s="10" t="s">
        <v>10</v>
      </c>
      <c r="C71" s="55">
        <v>108901</v>
      </c>
    </row>
    <row r="72" spans="1:3" x14ac:dyDescent="0.3">
      <c r="A72" s="54" t="s">
        <v>4</v>
      </c>
      <c r="B72" s="10" t="s">
        <v>8</v>
      </c>
      <c r="C72" s="55">
        <v>57602</v>
      </c>
    </row>
    <row r="73" spans="1:3" x14ac:dyDescent="0.3">
      <c r="A73" s="54" t="s">
        <v>11</v>
      </c>
      <c r="B73" s="10" t="s">
        <v>10</v>
      </c>
      <c r="C73" s="55">
        <v>98630</v>
      </c>
    </row>
    <row r="74" spans="1:3" x14ac:dyDescent="0.3">
      <c r="A74" s="54" t="s">
        <v>11</v>
      </c>
      <c r="B74" s="10" t="s">
        <v>6</v>
      </c>
      <c r="C74" s="55">
        <v>48496</v>
      </c>
    </row>
    <row r="75" spans="1:3" x14ac:dyDescent="0.3">
      <c r="A75" s="54" t="s">
        <v>9</v>
      </c>
      <c r="B75" s="10" t="s">
        <v>10</v>
      </c>
      <c r="C75" s="55">
        <v>89726</v>
      </c>
    </row>
    <row r="76" spans="1:3" x14ac:dyDescent="0.3">
      <c r="A76" s="54" t="s">
        <v>9</v>
      </c>
      <c r="B76" s="10" t="s">
        <v>10</v>
      </c>
      <c r="C76" s="55">
        <v>16844</v>
      </c>
    </row>
    <row r="77" spans="1:3" x14ac:dyDescent="0.3">
      <c r="A77" s="54" t="s">
        <v>7</v>
      </c>
      <c r="B77" s="10" t="s">
        <v>5</v>
      </c>
      <c r="C77" s="55">
        <v>127674</v>
      </c>
    </row>
    <row r="78" spans="1:3" x14ac:dyDescent="0.3">
      <c r="A78" s="54" t="s">
        <v>11</v>
      </c>
      <c r="B78" s="10" t="s">
        <v>8</v>
      </c>
      <c r="C78" s="55">
        <v>136035</v>
      </c>
    </row>
    <row r="79" spans="1:3" x14ac:dyDescent="0.3">
      <c r="A79" s="54" t="s">
        <v>11</v>
      </c>
      <c r="B79" s="10" t="s">
        <v>6</v>
      </c>
      <c r="C79" s="55">
        <v>46860</v>
      </c>
    </row>
    <row r="80" spans="1:3" x14ac:dyDescent="0.3">
      <c r="A80" s="54" t="s">
        <v>11</v>
      </c>
      <c r="B80" s="10" t="s">
        <v>8</v>
      </c>
      <c r="C80" s="55">
        <v>63023</v>
      </c>
    </row>
    <row r="81" spans="1:3" x14ac:dyDescent="0.3">
      <c r="A81" s="54" t="s">
        <v>9</v>
      </c>
      <c r="B81" s="10" t="s">
        <v>5</v>
      </c>
      <c r="C81" s="55">
        <v>23013</v>
      </c>
    </row>
    <row r="82" spans="1:3" x14ac:dyDescent="0.3">
      <c r="A82" s="54" t="s">
        <v>4</v>
      </c>
      <c r="B82" s="10" t="s">
        <v>5</v>
      </c>
      <c r="C82" s="55">
        <v>10309</v>
      </c>
    </row>
    <row r="83" spans="1:3" x14ac:dyDescent="0.3">
      <c r="A83" s="54" t="s">
        <v>9</v>
      </c>
      <c r="B83" s="10" t="s">
        <v>8</v>
      </c>
      <c r="C83" s="55">
        <v>131663</v>
      </c>
    </row>
    <row r="84" spans="1:3" x14ac:dyDescent="0.3">
      <c r="A84" s="54" t="s">
        <v>7</v>
      </c>
      <c r="B84" s="10" t="s">
        <v>6</v>
      </c>
      <c r="C84" s="55">
        <v>90600</v>
      </c>
    </row>
    <row r="85" spans="1:3" x14ac:dyDescent="0.3">
      <c r="A85" s="54" t="s">
        <v>4</v>
      </c>
      <c r="B85" s="10" t="s">
        <v>8</v>
      </c>
      <c r="C85" s="55">
        <v>144880</v>
      </c>
    </row>
    <row r="86" spans="1:3" x14ac:dyDescent="0.3">
      <c r="A86" s="54" t="s">
        <v>7</v>
      </c>
      <c r="B86" s="10" t="s">
        <v>8</v>
      </c>
      <c r="C86" s="55">
        <v>81329</v>
      </c>
    </row>
    <row r="87" spans="1:3" x14ac:dyDescent="0.3">
      <c r="A87" s="54" t="s">
        <v>7</v>
      </c>
      <c r="B87" s="10" t="s">
        <v>5</v>
      </c>
      <c r="C87" s="55">
        <v>52256</v>
      </c>
    </row>
    <row r="88" spans="1:3" x14ac:dyDescent="0.3">
      <c r="A88" s="54" t="s">
        <v>7</v>
      </c>
      <c r="B88" s="10" t="s">
        <v>6</v>
      </c>
      <c r="C88" s="55">
        <v>114813</v>
      </c>
    </row>
    <row r="89" spans="1:3" x14ac:dyDescent="0.3">
      <c r="A89" s="54" t="s">
        <v>4</v>
      </c>
      <c r="B89" s="10" t="s">
        <v>8</v>
      </c>
      <c r="C89" s="55">
        <v>69907</v>
      </c>
    </row>
    <row r="90" spans="1:3" x14ac:dyDescent="0.3">
      <c r="A90" s="54" t="s">
        <v>11</v>
      </c>
      <c r="B90" s="10" t="s">
        <v>5</v>
      </c>
      <c r="C90" s="55">
        <v>67059</v>
      </c>
    </row>
    <row r="91" spans="1:3" x14ac:dyDescent="0.3">
      <c r="A91" s="54" t="s">
        <v>9</v>
      </c>
      <c r="B91" s="10" t="s">
        <v>6</v>
      </c>
      <c r="C91" s="55">
        <v>143072</v>
      </c>
    </row>
    <row r="92" spans="1:3" x14ac:dyDescent="0.3">
      <c r="A92" s="54" t="s">
        <v>9</v>
      </c>
      <c r="B92" s="10" t="s">
        <v>10</v>
      </c>
      <c r="C92" s="55">
        <v>112637</v>
      </c>
    </row>
    <row r="93" spans="1:3" x14ac:dyDescent="0.3">
      <c r="A93" s="54" t="s">
        <v>11</v>
      </c>
      <c r="B93" s="10" t="s">
        <v>6</v>
      </c>
      <c r="C93" s="55">
        <v>31872</v>
      </c>
    </row>
    <row r="94" spans="1:3" x14ac:dyDescent="0.3">
      <c r="A94" s="54" t="s">
        <v>9</v>
      </c>
      <c r="B94" s="10" t="s">
        <v>10</v>
      </c>
      <c r="C94" s="55">
        <v>65906</v>
      </c>
    </row>
    <row r="95" spans="1:3" x14ac:dyDescent="0.3">
      <c r="A95" s="54" t="s">
        <v>9</v>
      </c>
      <c r="B95" s="10" t="s">
        <v>8</v>
      </c>
      <c r="C95" s="55">
        <v>41742</v>
      </c>
    </row>
    <row r="96" spans="1:3" x14ac:dyDescent="0.3">
      <c r="A96" s="54" t="s">
        <v>7</v>
      </c>
      <c r="B96" s="10" t="s">
        <v>8</v>
      </c>
      <c r="C96" s="55">
        <v>80382</v>
      </c>
    </row>
    <row r="97" spans="1:3" x14ac:dyDescent="0.3">
      <c r="A97" s="54" t="s">
        <v>11</v>
      </c>
      <c r="B97" s="10" t="s">
        <v>8</v>
      </c>
      <c r="C97" s="55">
        <v>57705</v>
      </c>
    </row>
    <row r="98" spans="1:3" x14ac:dyDescent="0.3">
      <c r="A98" s="54" t="s">
        <v>11</v>
      </c>
      <c r="B98" s="10" t="s">
        <v>8</v>
      </c>
      <c r="C98" s="55">
        <v>74671</v>
      </c>
    </row>
    <row r="99" spans="1:3" x14ac:dyDescent="0.3">
      <c r="A99" s="54" t="s">
        <v>4</v>
      </c>
      <c r="B99" s="10" t="s">
        <v>8</v>
      </c>
      <c r="C99" s="55">
        <v>85369</v>
      </c>
    </row>
    <row r="100" spans="1:3" x14ac:dyDescent="0.3">
      <c r="A100" s="54" t="s">
        <v>11</v>
      </c>
      <c r="B100" s="10" t="s">
        <v>10</v>
      </c>
      <c r="C100" s="55">
        <v>70828</v>
      </c>
    </row>
    <row r="101" spans="1:3" x14ac:dyDescent="0.3">
      <c r="A101" s="54" t="s">
        <v>9</v>
      </c>
      <c r="B101" s="10" t="s">
        <v>10</v>
      </c>
      <c r="C101" s="55">
        <v>71243</v>
      </c>
    </row>
    <row r="102" spans="1:3" x14ac:dyDescent="0.3">
      <c r="A102" s="54" t="s">
        <v>7</v>
      </c>
      <c r="B102" s="10" t="s">
        <v>6</v>
      </c>
      <c r="C102" s="55">
        <v>107092</v>
      </c>
    </row>
    <row r="103" spans="1:3" x14ac:dyDescent="0.3">
      <c r="A103" s="54" t="s">
        <v>11</v>
      </c>
      <c r="B103" s="10" t="s">
        <v>10</v>
      </c>
      <c r="C103" s="55">
        <v>39862</v>
      </c>
    </row>
    <row r="104" spans="1:3" x14ac:dyDescent="0.3">
      <c r="A104" s="54" t="s">
        <v>11</v>
      </c>
      <c r="B104" s="10" t="s">
        <v>8</v>
      </c>
      <c r="C104" s="55">
        <v>124613</v>
      </c>
    </row>
    <row r="105" spans="1:3" x14ac:dyDescent="0.3">
      <c r="A105" s="54" t="s">
        <v>9</v>
      </c>
      <c r="B105" s="10" t="s">
        <v>5</v>
      </c>
      <c r="C105" s="55">
        <v>138612</v>
      </c>
    </row>
    <row r="106" spans="1:3" x14ac:dyDescent="0.3">
      <c r="A106" s="54" t="s">
        <v>4</v>
      </c>
      <c r="B106" s="10" t="s">
        <v>10</v>
      </c>
      <c r="C106" s="55">
        <v>85780</v>
      </c>
    </row>
    <row r="107" spans="1:3" x14ac:dyDescent="0.3">
      <c r="A107" s="54" t="s">
        <v>11</v>
      </c>
      <c r="B107" s="10" t="s">
        <v>6</v>
      </c>
      <c r="C107" s="55">
        <v>50237</v>
      </c>
    </row>
    <row r="108" spans="1:3" x14ac:dyDescent="0.3">
      <c r="A108" s="54" t="s">
        <v>7</v>
      </c>
      <c r="B108" s="10" t="s">
        <v>10</v>
      </c>
      <c r="C108" s="55">
        <v>65788</v>
      </c>
    </row>
    <row r="109" spans="1:3" x14ac:dyDescent="0.3">
      <c r="A109" s="54" t="s">
        <v>9</v>
      </c>
      <c r="B109" s="10" t="s">
        <v>5</v>
      </c>
      <c r="C109" s="55">
        <v>31206</v>
      </c>
    </row>
    <row r="110" spans="1:3" x14ac:dyDescent="0.3">
      <c r="A110" s="54" t="s">
        <v>4</v>
      </c>
      <c r="B110" s="10" t="s">
        <v>10</v>
      </c>
      <c r="C110" s="55">
        <v>49959</v>
      </c>
    </row>
    <row r="111" spans="1:3" x14ac:dyDescent="0.3">
      <c r="A111" s="54" t="s">
        <v>11</v>
      </c>
      <c r="B111" s="10" t="s">
        <v>8</v>
      </c>
      <c r="C111" s="55">
        <v>133062</v>
      </c>
    </row>
    <row r="112" spans="1:3" x14ac:dyDescent="0.3">
      <c r="A112" s="54" t="s">
        <v>7</v>
      </c>
      <c r="B112" s="10" t="s">
        <v>8</v>
      </c>
      <c r="C112" s="55">
        <v>107136</v>
      </c>
    </row>
    <row r="113" spans="1:3" x14ac:dyDescent="0.3">
      <c r="A113" s="54" t="s">
        <v>7</v>
      </c>
      <c r="B113" s="10" t="s">
        <v>10</v>
      </c>
      <c r="C113" s="55">
        <v>67154</v>
      </c>
    </row>
    <row r="114" spans="1:3" x14ac:dyDescent="0.3">
      <c r="A114" s="54" t="s">
        <v>9</v>
      </c>
      <c r="B114" s="10" t="s">
        <v>10</v>
      </c>
      <c r="C114" s="55">
        <v>71129</v>
      </c>
    </row>
    <row r="115" spans="1:3" x14ac:dyDescent="0.3">
      <c r="A115" s="54" t="s">
        <v>4</v>
      </c>
      <c r="B115" s="10" t="s">
        <v>10</v>
      </c>
      <c r="C115" s="55">
        <v>73427</v>
      </c>
    </row>
    <row r="116" spans="1:3" x14ac:dyDescent="0.3">
      <c r="A116" s="54" t="s">
        <v>4</v>
      </c>
      <c r="B116" s="10" t="s">
        <v>10</v>
      </c>
      <c r="C116" s="55">
        <v>46910</v>
      </c>
    </row>
    <row r="117" spans="1:3" x14ac:dyDescent="0.3">
      <c r="A117" s="54" t="s">
        <v>4</v>
      </c>
      <c r="B117" s="10" t="s">
        <v>8</v>
      </c>
      <c r="C117" s="55">
        <v>78629</v>
      </c>
    </row>
    <row r="118" spans="1:3" x14ac:dyDescent="0.3">
      <c r="A118" s="54" t="s">
        <v>7</v>
      </c>
      <c r="B118" s="10" t="s">
        <v>6</v>
      </c>
      <c r="C118" s="55">
        <v>95832</v>
      </c>
    </row>
    <row r="119" spans="1:3" x14ac:dyDescent="0.3">
      <c r="A119" s="54" t="s">
        <v>11</v>
      </c>
      <c r="B119" s="10" t="s">
        <v>10</v>
      </c>
      <c r="C119" s="55">
        <v>83904</v>
      </c>
    </row>
    <row r="120" spans="1:3" x14ac:dyDescent="0.3">
      <c r="A120" s="54" t="s">
        <v>4</v>
      </c>
      <c r="B120" s="10" t="s">
        <v>6</v>
      </c>
      <c r="C120" s="55">
        <v>106341</v>
      </c>
    </row>
    <row r="121" spans="1:3" x14ac:dyDescent="0.3">
      <c r="A121" s="54" t="s">
        <v>9</v>
      </c>
      <c r="B121" s="10" t="s">
        <v>5</v>
      </c>
      <c r="C121" s="55">
        <v>138701</v>
      </c>
    </row>
    <row r="122" spans="1:3" x14ac:dyDescent="0.3">
      <c r="A122" s="54" t="s">
        <v>7</v>
      </c>
      <c r="B122" s="10" t="s">
        <v>10</v>
      </c>
      <c r="C122" s="55">
        <v>98787</v>
      </c>
    </row>
    <row r="123" spans="1:3" x14ac:dyDescent="0.3">
      <c r="A123" s="54" t="s">
        <v>7</v>
      </c>
      <c r="B123" s="10" t="s">
        <v>5</v>
      </c>
      <c r="C123" s="55">
        <v>55957</v>
      </c>
    </row>
    <row r="124" spans="1:3" x14ac:dyDescent="0.3">
      <c r="A124" s="54" t="s">
        <v>7</v>
      </c>
      <c r="B124" s="10" t="s">
        <v>5</v>
      </c>
      <c r="C124" s="55">
        <v>39761</v>
      </c>
    </row>
    <row r="125" spans="1:3" x14ac:dyDescent="0.3">
      <c r="A125" s="54" t="s">
        <v>11</v>
      </c>
      <c r="B125" s="10" t="s">
        <v>5</v>
      </c>
      <c r="C125" s="55">
        <v>121084</v>
      </c>
    </row>
    <row r="126" spans="1:3" x14ac:dyDescent="0.3">
      <c r="A126" s="54" t="s">
        <v>7</v>
      </c>
      <c r="B126" s="10" t="s">
        <v>5</v>
      </c>
      <c r="C126" s="55">
        <v>70799</v>
      </c>
    </row>
    <row r="127" spans="1:3" x14ac:dyDescent="0.3">
      <c r="A127" s="54" t="s">
        <v>7</v>
      </c>
      <c r="B127" s="10" t="s">
        <v>10</v>
      </c>
      <c r="C127" s="55">
        <v>118269</v>
      </c>
    </row>
    <row r="128" spans="1:3" x14ac:dyDescent="0.3">
      <c r="A128" s="54" t="s">
        <v>4</v>
      </c>
      <c r="B128" s="10" t="s">
        <v>10</v>
      </c>
      <c r="C128" s="55">
        <v>105489</v>
      </c>
    </row>
    <row r="129" spans="1:3" x14ac:dyDescent="0.3">
      <c r="A129" s="54" t="s">
        <v>11</v>
      </c>
      <c r="B129" s="10" t="s">
        <v>5</v>
      </c>
      <c r="C129" s="55">
        <v>78187</v>
      </c>
    </row>
    <row r="130" spans="1:3" x14ac:dyDescent="0.3">
      <c r="A130" s="54" t="s">
        <v>4</v>
      </c>
      <c r="B130" s="10" t="s">
        <v>5</v>
      </c>
      <c r="C130" s="55">
        <v>91937</v>
      </c>
    </row>
    <row r="131" spans="1:3" x14ac:dyDescent="0.3">
      <c r="A131" s="54" t="s">
        <v>9</v>
      </c>
      <c r="B131" s="10" t="s">
        <v>5</v>
      </c>
      <c r="C131" s="55">
        <v>54994</v>
      </c>
    </row>
    <row r="132" spans="1:3" x14ac:dyDescent="0.3">
      <c r="A132" s="54" t="s">
        <v>4</v>
      </c>
      <c r="B132" s="10" t="s">
        <v>5</v>
      </c>
      <c r="C132" s="55">
        <v>108611</v>
      </c>
    </row>
    <row r="133" spans="1:3" x14ac:dyDescent="0.3">
      <c r="A133" s="54" t="s">
        <v>4</v>
      </c>
      <c r="B133" s="10" t="s">
        <v>6</v>
      </c>
      <c r="C133" s="55">
        <v>14252</v>
      </c>
    </row>
    <row r="134" spans="1:3" x14ac:dyDescent="0.3">
      <c r="A134" s="54" t="s">
        <v>11</v>
      </c>
      <c r="B134" s="10" t="s">
        <v>5</v>
      </c>
      <c r="C134" s="55">
        <v>47861</v>
      </c>
    </row>
    <row r="135" spans="1:3" x14ac:dyDescent="0.3">
      <c r="A135" s="54" t="s">
        <v>9</v>
      </c>
      <c r="B135" s="10" t="s">
        <v>8</v>
      </c>
      <c r="C135" s="55">
        <v>38483</v>
      </c>
    </row>
    <row r="136" spans="1:3" x14ac:dyDescent="0.3">
      <c r="A136" s="54" t="s">
        <v>4</v>
      </c>
      <c r="B136" s="10" t="s">
        <v>6</v>
      </c>
      <c r="C136" s="55">
        <v>122733</v>
      </c>
    </row>
    <row r="137" spans="1:3" x14ac:dyDescent="0.3">
      <c r="A137" s="54" t="s">
        <v>7</v>
      </c>
      <c r="B137" s="10" t="s">
        <v>6</v>
      </c>
      <c r="C137" s="55">
        <v>116066</v>
      </c>
    </row>
    <row r="138" spans="1:3" x14ac:dyDescent="0.3">
      <c r="A138" s="54" t="s">
        <v>4</v>
      </c>
      <c r="B138" s="10" t="s">
        <v>8</v>
      </c>
      <c r="C138" s="55">
        <v>82548</v>
      </c>
    </row>
    <row r="139" spans="1:3" x14ac:dyDescent="0.3">
      <c r="A139" s="54" t="s">
        <v>9</v>
      </c>
      <c r="B139" s="10" t="s">
        <v>8</v>
      </c>
      <c r="C139" s="55">
        <v>73656</v>
      </c>
    </row>
    <row r="140" spans="1:3" x14ac:dyDescent="0.3">
      <c r="A140" s="54" t="s">
        <v>11</v>
      </c>
      <c r="B140" s="10" t="s">
        <v>10</v>
      </c>
      <c r="C140" s="55">
        <v>116112</v>
      </c>
    </row>
    <row r="141" spans="1:3" x14ac:dyDescent="0.3">
      <c r="A141" s="54" t="s">
        <v>11</v>
      </c>
      <c r="B141" s="10" t="s">
        <v>8</v>
      </c>
      <c r="C141" s="55">
        <v>143219</v>
      </c>
    </row>
    <row r="142" spans="1:3" x14ac:dyDescent="0.3">
      <c r="A142" s="54" t="s">
        <v>9</v>
      </c>
      <c r="B142" s="10" t="s">
        <v>6</v>
      </c>
      <c r="C142" s="55">
        <v>68113</v>
      </c>
    </row>
    <row r="143" spans="1:3" x14ac:dyDescent="0.3">
      <c r="A143" s="54" t="s">
        <v>11</v>
      </c>
      <c r="B143" s="10" t="s">
        <v>8</v>
      </c>
      <c r="C143" s="55">
        <v>76978</v>
      </c>
    </row>
    <row r="144" spans="1:3" x14ac:dyDescent="0.3">
      <c r="A144" s="54" t="s">
        <v>7</v>
      </c>
      <c r="B144" s="10" t="s">
        <v>6</v>
      </c>
      <c r="C144" s="55">
        <v>74453</v>
      </c>
    </row>
    <row r="145" spans="1:3" x14ac:dyDescent="0.3">
      <c r="A145" s="54" t="s">
        <v>9</v>
      </c>
      <c r="B145" s="10" t="s">
        <v>5</v>
      </c>
      <c r="C145" s="55">
        <v>143073</v>
      </c>
    </row>
    <row r="146" spans="1:3" x14ac:dyDescent="0.3">
      <c r="A146" s="54" t="s">
        <v>7</v>
      </c>
      <c r="B146" s="10" t="s">
        <v>10</v>
      </c>
      <c r="C146" s="55">
        <v>62639</v>
      </c>
    </row>
    <row r="147" spans="1:3" x14ac:dyDescent="0.3">
      <c r="A147" s="54" t="s">
        <v>4</v>
      </c>
      <c r="B147" s="10" t="s">
        <v>8</v>
      </c>
      <c r="C147" s="55">
        <v>146109</v>
      </c>
    </row>
    <row r="148" spans="1:3" x14ac:dyDescent="0.3">
      <c r="A148" s="54" t="s">
        <v>7</v>
      </c>
      <c r="B148" s="10" t="s">
        <v>8</v>
      </c>
      <c r="C148" s="55">
        <v>69884</v>
      </c>
    </row>
    <row r="149" spans="1:3" x14ac:dyDescent="0.3">
      <c r="A149" s="54" t="s">
        <v>9</v>
      </c>
      <c r="B149" s="10" t="s">
        <v>5</v>
      </c>
      <c r="C149" s="55">
        <v>10120</v>
      </c>
    </row>
    <row r="150" spans="1:3" x14ac:dyDescent="0.3">
      <c r="A150" s="54" t="s">
        <v>7</v>
      </c>
      <c r="B150" s="10" t="s">
        <v>10</v>
      </c>
      <c r="C150" s="55">
        <v>87516</v>
      </c>
    </row>
    <row r="151" spans="1:3" x14ac:dyDescent="0.3">
      <c r="A151" s="38" t="s">
        <v>4</v>
      </c>
      <c r="B151" s="56" t="s">
        <v>6</v>
      </c>
      <c r="C151" s="37">
        <v>11772</v>
      </c>
    </row>
  </sheetData>
  <mergeCells count="4">
    <mergeCell ref="F2:J6"/>
    <mergeCell ref="F8:J9"/>
    <mergeCell ref="E8:E9"/>
    <mergeCell ref="F12:J12"/>
  </mergeCell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52"/>
  <sheetViews>
    <sheetView workbookViewId="0">
      <selection activeCell="O59" sqref="O59"/>
    </sheetView>
  </sheetViews>
  <sheetFormatPr defaultColWidth="14.44140625" defaultRowHeight="14.4" x14ac:dyDescent="0.3"/>
  <sheetData>
    <row r="1" spans="1:14" ht="15" thickBot="1" x14ac:dyDescent="0.35"/>
    <row r="2" spans="1:14" x14ac:dyDescent="0.3">
      <c r="A2" s="57" t="s">
        <v>195</v>
      </c>
      <c r="B2" s="58" t="s">
        <v>184</v>
      </c>
      <c r="C2" s="58" t="s">
        <v>196</v>
      </c>
      <c r="D2" s="58" t="s">
        <v>197</v>
      </c>
      <c r="E2" s="59" t="s">
        <v>185</v>
      </c>
      <c r="H2" s="98" t="s">
        <v>370</v>
      </c>
      <c r="I2" s="99"/>
      <c r="J2" s="99"/>
      <c r="K2" s="99"/>
      <c r="L2" s="100"/>
    </row>
    <row r="3" spans="1:14" x14ac:dyDescent="0.3">
      <c r="A3" s="54" t="s">
        <v>146</v>
      </c>
      <c r="B3" s="10" t="s">
        <v>186</v>
      </c>
      <c r="C3" s="10" t="s">
        <v>198</v>
      </c>
      <c r="D3" s="10">
        <v>4</v>
      </c>
      <c r="E3" s="55">
        <v>52827</v>
      </c>
      <c r="H3" s="101"/>
      <c r="I3" s="102"/>
      <c r="J3" s="102"/>
      <c r="K3" s="102"/>
      <c r="L3" s="103"/>
    </row>
    <row r="4" spans="1:14" x14ac:dyDescent="0.3">
      <c r="A4" s="54" t="s">
        <v>151</v>
      </c>
      <c r="B4" s="10" t="s">
        <v>189</v>
      </c>
      <c r="C4" s="10" t="s">
        <v>199</v>
      </c>
      <c r="D4" s="10">
        <v>8</v>
      </c>
      <c r="E4" s="55">
        <v>72974</v>
      </c>
      <c r="H4" s="101"/>
      <c r="I4" s="102"/>
      <c r="J4" s="102"/>
      <c r="K4" s="102"/>
      <c r="L4" s="103"/>
    </row>
    <row r="5" spans="1:14" x14ac:dyDescent="0.3">
      <c r="A5" s="54" t="s">
        <v>149</v>
      </c>
      <c r="B5" s="10" t="s">
        <v>189</v>
      </c>
      <c r="C5" s="10" t="s">
        <v>199</v>
      </c>
      <c r="D5" s="10">
        <v>2</v>
      </c>
      <c r="E5" s="55">
        <v>59481</v>
      </c>
      <c r="H5" s="101"/>
      <c r="I5" s="102"/>
      <c r="J5" s="102"/>
      <c r="K5" s="102"/>
      <c r="L5" s="103"/>
    </row>
    <row r="6" spans="1:14" x14ac:dyDescent="0.3">
      <c r="A6" s="54" t="s">
        <v>147</v>
      </c>
      <c r="B6" s="10" t="s">
        <v>188</v>
      </c>
      <c r="C6" s="10" t="s">
        <v>199</v>
      </c>
      <c r="D6" s="10">
        <v>9</v>
      </c>
      <c r="E6" s="55">
        <v>87691</v>
      </c>
      <c r="H6" s="101"/>
      <c r="I6" s="102"/>
      <c r="J6" s="102"/>
      <c r="K6" s="102"/>
      <c r="L6" s="103"/>
    </row>
    <row r="7" spans="1:14" ht="15" thickBot="1" x14ac:dyDescent="0.35">
      <c r="A7" s="54" t="s">
        <v>151</v>
      </c>
      <c r="B7" s="10" t="s">
        <v>188</v>
      </c>
      <c r="C7" s="10" t="s">
        <v>198</v>
      </c>
      <c r="D7" s="10">
        <v>8</v>
      </c>
      <c r="E7" s="55">
        <v>37707</v>
      </c>
      <c r="H7" s="104"/>
      <c r="I7" s="105"/>
      <c r="J7" s="105"/>
      <c r="K7" s="105"/>
      <c r="L7" s="106"/>
    </row>
    <row r="8" spans="1:14" ht="15" thickBot="1" x14ac:dyDescent="0.35">
      <c r="A8" s="54" t="s">
        <v>147</v>
      </c>
      <c r="B8" s="10" t="s">
        <v>188</v>
      </c>
      <c r="C8" s="10" t="s">
        <v>199</v>
      </c>
      <c r="D8" s="10">
        <v>9</v>
      </c>
      <c r="E8" s="55">
        <v>36316</v>
      </c>
    </row>
    <row r="9" spans="1:14" x14ac:dyDescent="0.3">
      <c r="A9" s="54" t="s">
        <v>145</v>
      </c>
      <c r="B9" s="10" t="s">
        <v>188</v>
      </c>
      <c r="C9" s="10" t="s">
        <v>199</v>
      </c>
      <c r="D9" s="10">
        <v>9</v>
      </c>
      <c r="E9" s="55">
        <v>90087</v>
      </c>
      <c r="G9" s="145" t="s">
        <v>364</v>
      </c>
      <c r="H9" s="139">
        <f>AVERAGEIFS(Table13[Salary],Table13[Gender],"Female",Table13[Department],"HR",Table13[Experience],"&gt;3")</f>
        <v>65776.461538461532</v>
      </c>
      <c r="I9" s="140"/>
      <c r="J9" s="140"/>
      <c r="K9" s="140"/>
      <c r="L9" s="141"/>
    </row>
    <row r="10" spans="1:14" ht="15" thickBot="1" x14ac:dyDescent="0.35">
      <c r="A10" s="54" t="s">
        <v>150</v>
      </c>
      <c r="B10" s="10" t="s">
        <v>186</v>
      </c>
      <c r="C10" s="10" t="s">
        <v>199</v>
      </c>
      <c r="D10" s="10">
        <v>7</v>
      </c>
      <c r="E10" s="55">
        <v>31869</v>
      </c>
      <c r="G10" s="145"/>
      <c r="H10" s="142"/>
      <c r="I10" s="143"/>
      <c r="J10" s="143"/>
      <c r="K10" s="143"/>
      <c r="L10" s="144"/>
    </row>
    <row r="11" spans="1:14" x14ac:dyDescent="0.3">
      <c r="A11" s="54" t="s">
        <v>150</v>
      </c>
      <c r="B11" s="10" t="s">
        <v>190</v>
      </c>
      <c r="C11" s="10" t="s">
        <v>199</v>
      </c>
      <c r="D11" s="10">
        <v>5</v>
      </c>
      <c r="E11" s="55">
        <v>64447</v>
      </c>
    </row>
    <row r="12" spans="1:14" x14ac:dyDescent="0.3">
      <c r="A12" s="54" t="s">
        <v>148</v>
      </c>
      <c r="B12" s="10" t="s">
        <v>189</v>
      </c>
      <c r="C12" s="10" t="s">
        <v>198</v>
      </c>
      <c r="D12" s="10">
        <v>8</v>
      </c>
      <c r="E12" s="55">
        <v>87140</v>
      </c>
    </row>
    <row r="13" spans="1:14" x14ac:dyDescent="0.3">
      <c r="A13" s="54" t="s">
        <v>187</v>
      </c>
      <c r="B13" s="10" t="s">
        <v>189</v>
      </c>
      <c r="C13" s="10" t="s">
        <v>199</v>
      </c>
      <c r="D13" s="10">
        <v>5</v>
      </c>
      <c r="E13" s="55">
        <v>39356</v>
      </c>
    </row>
    <row r="14" spans="1:14" x14ac:dyDescent="0.3">
      <c r="A14" s="54" t="s">
        <v>148</v>
      </c>
      <c r="B14" s="10" t="s">
        <v>189</v>
      </c>
      <c r="C14" s="10" t="s">
        <v>199</v>
      </c>
      <c r="D14" s="10">
        <v>7</v>
      </c>
      <c r="E14" s="55">
        <v>38215</v>
      </c>
      <c r="H14" s="122" t="s">
        <v>755</v>
      </c>
      <c r="I14" s="122"/>
      <c r="J14" s="122"/>
      <c r="K14" s="122"/>
      <c r="L14" s="122"/>
      <c r="M14" s="122"/>
      <c r="N14" s="122"/>
    </row>
    <row r="15" spans="1:14" x14ac:dyDescent="0.3">
      <c r="A15" s="54" t="s">
        <v>152</v>
      </c>
      <c r="B15" s="10" t="s">
        <v>190</v>
      </c>
      <c r="C15" s="10" t="s">
        <v>199</v>
      </c>
      <c r="D15" s="10">
        <v>6</v>
      </c>
      <c r="E15" s="55">
        <v>59229</v>
      </c>
    </row>
    <row r="16" spans="1:14" x14ac:dyDescent="0.3">
      <c r="A16" s="54" t="s">
        <v>146</v>
      </c>
      <c r="B16" s="10" t="s">
        <v>188</v>
      </c>
      <c r="C16" s="10" t="s">
        <v>198</v>
      </c>
      <c r="D16" s="10">
        <v>5</v>
      </c>
      <c r="E16" s="55">
        <v>26284</v>
      </c>
    </row>
    <row r="17" spans="1:5" x14ac:dyDescent="0.3">
      <c r="A17" s="54" t="s">
        <v>144</v>
      </c>
      <c r="B17" s="10" t="s">
        <v>190</v>
      </c>
      <c r="C17" s="10" t="s">
        <v>198</v>
      </c>
      <c r="D17" s="10">
        <v>8</v>
      </c>
      <c r="E17" s="55">
        <v>47063</v>
      </c>
    </row>
    <row r="18" spans="1:5" x14ac:dyDescent="0.3">
      <c r="A18" s="54" t="s">
        <v>148</v>
      </c>
      <c r="B18" s="10" t="s">
        <v>190</v>
      </c>
      <c r="C18" s="10" t="s">
        <v>199</v>
      </c>
      <c r="D18" s="10">
        <v>10</v>
      </c>
      <c r="E18" s="55">
        <v>68997</v>
      </c>
    </row>
    <row r="19" spans="1:5" x14ac:dyDescent="0.3">
      <c r="A19" s="54" t="s">
        <v>146</v>
      </c>
      <c r="B19" s="10" t="s">
        <v>186</v>
      </c>
      <c r="C19" s="10" t="s">
        <v>198</v>
      </c>
      <c r="D19" s="10">
        <v>6</v>
      </c>
      <c r="E19" s="55">
        <v>62223</v>
      </c>
    </row>
    <row r="20" spans="1:5" x14ac:dyDescent="0.3">
      <c r="A20" s="54" t="s">
        <v>144</v>
      </c>
      <c r="B20" s="10" t="s">
        <v>189</v>
      </c>
      <c r="C20" s="10" t="s">
        <v>198</v>
      </c>
      <c r="D20" s="10">
        <v>6</v>
      </c>
      <c r="E20" s="55">
        <v>31178</v>
      </c>
    </row>
    <row r="21" spans="1:5" x14ac:dyDescent="0.3">
      <c r="A21" s="54" t="s">
        <v>150</v>
      </c>
      <c r="B21" s="10" t="s">
        <v>190</v>
      </c>
      <c r="C21" s="10" t="s">
        <v>199</v>
      </c>
      <c r="D21" s="10">
        <v>7</v>
      </c>
      <c r="E21" s="55">
        <v>87309</v>
      </c>
    </row>
    <row r="22" spans="1:5" x14ac:dyDescent="0.3">
      <c r="A22" s="54" t="s">
        <v>152</v>
      </c>
      <c r="B22" s="10" t="s">
        <v>190</v>
      </c>
      <c r="C22" s="10" t="s">
        <v>199</v>
      </c>
      <c r="D22" s="10">
        <v>5</v>
      </c>
      <c r="E22" s="55">
        <v>71314</v>
      </c>
    </row>
    <row r="23" spans="1:5" x14ac:dyDescent="0.3">
      <c r="A23" s="54" t="s">
        <v>144</v>
      </c>
      <c r="B23" s="10" t="s">
        <v>190</v>
      </c>
      <c r="C23" s="10" t="s">
        <v>198</v>
      </c>
      <c r="D23" s="10">
        <v>9</v>
      </c>
      <c r="E23" s="55">
        <v>54627</v>
      </c>
    </row>
    <row r="24" spans="1:5" x14ac:dyDescent="0.3">
      <c r="A24" s="54" t="s">
        <v>145</v>
      </c>
      <c r="B24" s="10" t="s">
        <v>189</v>
      </c>
      <c r="C24" s="10" t="s">
        <v>198</v>
      </c>
      <c r="D24" s="10">
        <v>10</v>
      </c>
      <c r="E24" s="55">
        <v>30256</v>
      </c>
    </row>
    <row r="25" spans="1:5" x14ac:dyDescent="0.3">
      <c r="A25" s="54" t="s">
        <v>151</v>
      </c>
      <c r="B25" s="10" t="s">
        <v>186</v>
      </c>
      <c r="C25" s="10" t="s">
        <v>199</v>
      </c>
      <c r="D25" s="10">
        <v>5</v>
      </c>
      <c r="E25" s="55">
        <v>98278</v>
      </c>
    </row>
    <row r="26" spans="1:5" x14ac:dyDescent="0.3">
      <c r="A26" s="54" t="s">
        <v>152</v>
      </c>
      <c r="B26" s="10" t="s">
        <v>188</v>
      </c>
      <c r="C26" s="10" t="s">
        <v>199</v>
      </c>
      <c r="D26" s="10">
        <v>8</v>
      </c>
      <c r="E26" s="55">
        <v>76329</v>
      </c>
    </row>
    <row r="27" spans="1:5" x14ac:dyDescent="0.3">
      <c r="A27" s="54" t="s">
        <v>146</v>
      </c>
      <c r="B27" s="10" t="s">
        <v>190</v>
      </c>
      <c r="C27" s="10" t="s">
        <v>199</v>
      </c>
      <c r="D27" s="10">
        <v>7</v>
      </c>
      <c r="E27" s="55">
        <v>49755</v>
      </c>
    </row>
    <row r="28" spans="1:5" x14ac:dyDescent="0.3">
      <c r="A28" s="54" t="s">
        <v>151</v>
      </c>
      <c r="B28" s="10" t="s">
        <v>186</v>
      </c>
      <c r="C28" s="10" t="s">
        <v>199</v>
      </c>
      <c r="D28" s="10">
        <v>1</v>
      </c>
      <c r="E28" s="55">
        <v>48839</v>
      </c>
    </row>
    <row r="29" spans="1:5" x14ac:dyDescent="0.3">
      <c r="A29" s="54" t="s">
        <v>151</v>
      </c>
      <c r="B29" s="10" t="s">
        <v>190</v>
      </c>
      <c r="C29" s="10" t="s">
        <v>199</v>
      </c>
      <c r="D29" s="10">
        <v>1</v>
      </c>
      <c r="E29" s="55">
        <v>45590</v>
      </c>
    </row>
    <row r="30" spans="1:5" x14ac:dyDescent="0.3">
      <c r="A30" s="54" t="s">
        <v>146</v>
      </c>
      <c r="B30" s="10" t="s">
        <v>186</v>
      </c>
      <c r="C30" s="10" t="s">
        <v>199</v>
      </c>
      <c r="D30" s="10">
        <v>5</v>
      </c>
      <c r="E30" s="55">
        <v>27557</v>
      </c>
    </row>
    <row r="31" spans="1:5" x14ac:dyDescent="0.3">
      <c r="A31" s="54" t="s">
        <v>144</v>
      </c>
      <c r="B31" s="10" t="s">
        <v>188</v>
      </c>
      <c r="C31" s="10" t="s">
        <v>198</v>
      </c>
      <c r="D31" s="10">
        <v>4</v>
      </c>
      <c r="E31" s="55">
        <v>89043</v>
      </c>
    </row>
    <row r="32" spans="1:5" x14ac:dyDescent="0.3">
      <c r="A32" s="54" t="s">
        <v>144</v>
      </c>
      <c r="B32" s="10" t="s">
        <v>189</v>
      </c>
      <c r="C32" s="10" t="s">
        <v>198</v>
      </c>
      <c r="D32" s="10">
        <v>3</v>
      </c>
      <c r="E32" s="55">
        <v>69805</v>
      </c>
    </row>
    <row r="33" spans="1:5" x14ac:dyDescent="0.3">
      <c r="A33" s="54" t="s">
        <v>187</v>
      </c>
      <c r="B33" s="10" t="s">
        <v>190</v>
      </c>
      <c r="C33" s="10" t="s">
        <v>198</v>
      </c>
      <c r="D33" s="10">
        <v>7</v>
      </c>
      <c r="E33" s="55">
        <v>63847</v>
      </c>
    </row>
    <row r="34" spans="1:5" x14ac:dyDescent="0.3">
      <c r="A34" s="54" t="s">
        <v>152</v>
      </c>
      <c r="B34" s="10" t="s">
        <v>190</v>
      </c>
      <c r="C34" s="10" t="s">
        <v>198</v>
      </c>
      <c r="D34" s="10">
        <v>8</v>
      </c>
      <c r="E34" s="55">
        <v>59554</v>
      </c>
    </row>
    <row r="35" spans="1:5" x14ac:dyDescent="0.3">
      <c r="A35" s="54" t="s">
        <v>149</v>
      </c>
      <c r="B35" s="10" t="s">
        <v>189</v>
      </c>
      <c r="C35" s="10" t="s">
        <v>199</v>
      </c>
      <c r="D35" s="10">
        <v>9</v>
      </c>
      <c r="E35" s="55">
        <v>46769</v>
      </c>
    </row>
    <row r="36" spans="1:5" x14ac:dyDescent="0.3">
      <c r="A36" s="54" t="s">
        <v>150</v>
      </c>
      <c r="B36" s="10" t="s">
        <v>188</v>
      </c>
      <c r="C36" s="10" t="s">
        <v>199</v>
      </c>
      <c r="D36" s="10">
        <v>2</v>
      </c>
      <c r="E36" s="55">
        <v>86547</v>
      </c>
    </row>
    <row r="37" spans="1:5" x14ac:dyDescent="0.3">
      <c r="A37" s="54" t="s">
        <v>151</v>
      </c>
      <c r="B37" s="10" t="s">
        <v>190</v>
      </c>
      <c r="C37" s="10" t="s">
        <v>198</v>
      </c>
      <c r="D37" s="10">
        <v>9</v>
      </c>
      <c r="E37" s="55">
        <v>45065</v>
      </c>
    </row>
    <row r="38" spans="1:5" x14ac:dyDescent="0.3">
      <c r="A38" s="54" t="s">
        <v>146</v>
      </c>
      <c r="B38" s="10" t="s">
        <v>189</v>
      </c>
      <c r="C38" s="10" t="s">
        <v>199</v>
      </c>
      <c r="D38" s="10">
        <v>1</v>
      </c>
      <c r="E38" s="55">
        <v>46595</v>
      </c>
    </row>
    <row r="39" spans="1:5" x14ac:dyDescent="0.3">
      <c r="A39" s="54" t="s">
        <v>150</v>
      </c>
      <c r="B39" s="10" t="s">
        <v>188</v>
      </c>
      <c r="C39" s="10" t="s">
        <v>198</v>
      </c>
      <c r="D39" s="10">
        <v>3</v>
      </c>
      <c r="E39" s="55">
        <v>68877</v>
      </c>
    </row>
    <row r="40" spans="1:5" x14ac:dyDescent="0.3">
      <c r="A40" s="54" t="s">
        <v>152</v>
      </c>
      <c r="B40" s="10" t="s">
        <v>186</v>
      </c>
      <c r="C40" s="10" t="s">
        <v>198</v>
      </c>
      <c r="D40" s="10">
        <v>2</v>
      </c>
      <c r="E40" s="55">
        <v>92395</v>
      </c>
    </row>
    <row r="41" spans="1:5" x14ac:dyDescent="0.3">
      <c r="A41" s="54" t="s">
        <v>151</v>
      </c>
      <c r="B41" s="10" t="s">
        <v>186</v>
      </c>
      <c r="C41" s="10" t="s">
        <v>199</v>
      </c>
      <c r="D41" s="10">
        <v>4</v>
      </c>
      <c r="E41" s="55">
        <v>97589</v>
      </c>
    </row>
    <row r="42" spans="1:5" x14ac:dyDescent="0.3">
      <c r="A42" s="54" t="s">
        <v>146</v>
      </c>
      <c r="B42" s="10" t="s">
        <v>186</v>
      </c>
      <c r="C42" s="10" t="s">
        <v>198</v>
      </c>
      <c r="D42" s="10">
        <v>1</v>
      </c>
      <c r="E42" s="55">
        <v>52844</v>
      </c>
    </row>
    <row r="43" spans="1:5" x14ac:dyDescent="0.3">
      <c r="A43" s="54" t="s">
        <v>151</v>
      </c>
      <c r="B43" s="10" t="s">
        <v>186</v>
      </c>
      <c r="C43" s="10" t="s">
        <v>198</v>
      </c>
      <c r="D43" s="10">
        <v>2</v>
      </c>
      <c r="E43" s="55">
        <v>86936</v>
      </c>
    </row>
    <row r="44" spans="1:5" x14ac:dyDescent="0.3">
      <c r="A44" s="54" t="s">
        <v>152</v>
      </c>
      <c r="B44" s="10" t="s">
        <v>188</v>
      </c>
      <c r="C44" s="10" t="s">
        <v>199</v>
      </c>
      <c r="D44" s="10">
        <v>3</v>
      </c>
      <c r="E44" s="55">
        <v>57749</v>
      </c>
    </row>
    <row r="45" spans="1:5" x14ac:dyDescent="0.3">
      <c r="A45" s="54" t="s">
        <v>150</v>
      </c>
      <c r="B45" s="10" t="s">
        <v>190</v>
      </c>
      <c r="C45" s="10" t="s">
        <v>198</v>
      </c>
      <c r="D45" s="10">
        <v>7</v>
      </c>
      <c r="E45" s="55">
        <v>71553</v>
      </c>
    </row>
    <row r="46" spans="1:5" x14ac:dyDescent="0.3">
      <c r="A46" s="54" t="s">
        <v>187</v>
      </c>
      <c r="B46" s="10" t="s">
        <v>190</v>
      </c>
      <c r="C46" s="10" t="s">
        <v>198</v>
      </c>
      <c r="D46" s="10">
        <v>10</v>
      </c>
      <c r="E46" s="55">
        <v>94852</v>
      </c>
    </row>
    <row r="47" spans="1:5" x14ac:dyDescent="0.3">
      <c r="A47" s="54" t="s">
        <v>146</v>
      </c>
      <c r="B47" s="10" t="s">
        <v>189</v>
      </c>
      <c r="C47" s="10" t="s">
        <v>198</v>
      </c>
      <c r="D47" s="10">
        <v>8</v>
      </c>
      <c r="E47" s="55">
        <v>36044</v>
      </c>
    </row>
    <row r="48" spans="1:5" x14ac:dyDescent="0.3">
      <c r="A48" s="54" t="s">
        <v>144</v>
      </c>
      <c r="B48" s="10" t="s">
        <v>190</v>
      </c>
      <c r="C48" s="10" t="s">
        <v>199</v>
      </c>
      <c r="D48" s="10">
        <v>3</v>
      </c>
      <c r="E48" s="55">
        <v>49620</v>
      </c>
    </row>
    <row r="49" spans="1:5" x14ac:dyDescent="0.3">
      <c r="A49" s="54" t="s">
        <v>187</v>
      </c>
      <c r="B49" s="10" t="s">
        <v>188</v>
      </c>
      <c r="C49" s="10" t="s">
        <v>198</v>
      </c>
      <c r="D49" s="10">
        <v>3</v>
      </c>
      <c r="E49" s="55">
        <v>86903</v>
      </c>
    </row>
    <row r="50" spans="1:5" x14ac:dyDescent="0.3">
      <c r="A50" s="54" t="s">
        <v>150</v>
      </c>
      <c r="B50" s="10" t="s">
        <v>190</v>
      </c>
      <c r="C50" s="10" t="s">
        <v>199</v>
      </c>
      <c r="D50" s="10">
        <v>5</v>
      </c>
      <c r="E50" s="55">
        <v>39801</v>
      </c>
    </row>
    <row r="51" spans="1:5" x14ac:dyDescent="0.3">
      <c r="A51" s="54" t="s">
        <v>145</v>
      </c>
      <c r="B51" s="10" t="s">
        <v>190</v>
      </c>
      <c r="C51" s="10" t="s">
        <v>198</v>
      </c>
      <c r="D51" s="10">
        <v>8</v>
      </c>
      <c r="E51" s="55">
        <v>98001</v>
      </c>
    </row>
    <row r="52" spans="1:5" x14ac:dyDescent="0.3">
      <c r="A52" s="54" t="s">
        <v>149</v>
      </c>
      <c r="B52" s="10" t="s">
        <v>186</v>
      </c>
      <c r="C52" s="10" t="s">
        <v>198</v>
      </c>
      <c r="D52" s="10">
        <v>6</v>
      </c>
      <c r="E52" s="55">
        <v>45910</v>
      </c>
    </row>
    <row r="53" spans="1:5" x14ac:dyDescent="0.3">
      <c r="A53" s="54" t="s">
        <v>145</v>
      </c>
      <c r="B53" s="10" t="s">
        <v>186</v>
      </c>
      <c r="C53" s="10" t="s">
        <v>199</v>
      </c>
      <c r="D53" s="10">
        <v>6</v>
      </c>
      <c r="E53" s="55">
        <v>42009</v>
      </c>
    </row>
    <row r="54" spans="1:5" x14ac:dyDescent="0.3">
      <c r="A54" s="54" t="s">
        <v>152</v>
      </c>
      <c r="B54" s="10" t="s">
        <v>189</v>
      </c>
      <c r="C54" s="10" t="s">
        <v>199</v>
      </c>
      <c r="D54" s="10">
        <v>3</v>
      </c>
      <c r="E54" s="55">
        <v>28700</v>
      </c>
    </row>
    <row r="55" spans="1:5" x14ac:dyDescent="0.3">
      <c r="A55" s="54" t="s">
        <v>148</v>
      </c>
      <c r="B55" s="10" t="s">
        <v>190</v>
      </c>
      <c r="C55" s="10" t="s">
        <v>199</v>
      </c>
      <c r="D55" s="10">
        <v>8</v>
      </c>
      <c r="E55" s="55">
        <v>65479</v>
      </c>
    </row>
    <row r="56" spans="1:5" x14ac:dyDescent="0.3">
      <c r="A56" s="54" t="s">
        <v>149</v>
      </c>
      <c r="B56" s="10" t="s">
        <v>186</v>
      </c>
      <c r="C56" s="10" t="s">
        <v>199</v>
      </c>
      <c r="D56" s="10">
        <v>10</v>
      </c>
      <c r="E56" s="55">
        <v>54835</v>
      </c>
    </row>
    <row r="57" spans="1:5" x14ac:dyDescent="0.3">
      <c r="A57" s="54" t="s">
        <v>145</v>
      </c>
      <c r="B57" s="10" t="s">
        <v>188</v>
      </c>
      <c r="C57" s="10" t="s">
        <v>198</v>
      </c>
      <c r="D57" s="10">
        <v>8</v>
      </c>
      <c r="E57" s="55">
        <v>93081</v>
      </c>
    </row>
    <row r="58" spans="1:5" x14ac:dyDescent="0.3">
      <c r="A58" s="54" t="s">
        <v>152</v>
      </c>
      <c r="B58" s="10" t="s">
        <v>188</v>
      </c>
      <c r="C58" s="10" t="s">
        <v>199</v>
      </c>
      <c r="D58" s="10">
        <v>2</v>
      </c>
      <c r="E58" s="55">
        <v>92766</v>
      </c>
    </row>
    <row r="59" spans="1:5" x14ac:dyDescent="0.3">
      <c r="A59" s="54" t="s">
        <v>148</v>
      </c>
      <c r="B59" s="10" t="s">
        <v>188</v>
      </c>
      <c r="C59" s="10" t="s">
        <v>198</v>
      </c>
      <c r="D59" s="10">
        <v>7</v>
      </c>
      <c r="E59" s="55">
        <v>61638</v>
      </c>
    </row>
    <row r="60" spans="1:5" x14ac:dyDescent="0.3">
      <c r="A60" s="54" t="s">
        <v>152</v>
      </c>
      <c r="B60" s="10" t="s">
        <v>188</v>
      </c>
      <c r="C60" s="10" t="s">
        <v>198</v>
      </c>
      <c r="D60" s="10">
        <v>4</v>
      </c>
      <c r="E60" s="55">
        <v>61360</v>
      </c>
    </row>
    <row r="61" spans="1:5" x14ac:dyDescent="0.3">
      <c r="A61" s="54" t="s">
        <v>147</v>
      </c>
      <c r="B61" s="10" t="s">
        <v>188</v>
      </c>
      <c r="C61" s="10" t="s">
        <v>199</v>
      </c>
      <c r="D61" s="10">
        <v>9</v>
      </c>
      <c r="E61" s="55">
        <v>81156</v>
      </c>
    </row>
    <row r="62" spans="1:5" x14ac:dyDescent="0.3">
      <c r="A62" s="54" t="s">
        <v>146</v>
      </c>
      <c r="B62" s="10" t="s">
        <v>190</v>
      </c>
      <c r="C62" s="10" t="s">
        <v>199</v>
      </c>
      <c r="D62" s="10">
        <v>5</v>
      </c>
      <c r="E62" s="55">
        <v>92825</v>
      </c>
    </row>
    <row r="63" spans="1:5" x14ac:dyDescent="0.3">
      <c r="A63" s="54" t="s">
        <v>144</v>
      </c>
      <c r="B63" s="10" t="s">
        <v>190</v>
      </c>
      <c r="C63" s="10" t="s">
        <v>198</v>
      </c>
      <c r="D63" s="10">
        <v>2</v>
      </c>
      <c r="E63" s="55">
        <v>73285</v>
      </c>
    </row>
    <row r="64" spans="1:5" x14ac:dyDescent="0.3">
      <c r="A64" s="54" t="s">
        <v>152</v>
      </c>
      <c r="B64" s="10" t="s">
        <v>190</v>
      </c>
      <c r="C64" s="10" t="s">
        <v>199</v>
      </c>
      <c r="D64" s="10">
        <v>8</v>
      </c>
      <c r="E64" s="55">
        <v>99160</v>
      </c>
    </row>
    <row r="65" spans="1:5" x14ac:dyDescent="0.3">
      <c r="A65" s="54" t="s">
        <v>149</v>
      </c>
      <c r="B65" s="10" t="s">
        <v>188</v>
      </c>
      <c r="C65" s="10" t="s">
        <v>198</v>
      </c>
      <c r="D65" s="10">
        <v>9</v>
      </c>
      <c r="E65" s="55">
        <v>59367</v>
      </c>
    </row>
    <row r="66" spans="1:5" x14ac:dyDescent="0.3">
      <c r="A66" s="54" t="s">
        <v>187</v>
      </c>
      <c r="B66" s="10" t="s">
        <v>190</v>
      </c>
      <c r="C66" s="10" t="s">
        <v>198</v>
      </c>
      <c r="D66" s="10">
        <v>8</v>
      </c>
      <c r="E66" s="55">
        <v>25283</v>
      </c>
    </row>
    <row r="67" spans="1:5" x14ac:dyDescent="0.3">
      <c r="A67" s="54" t="s">
        <v>145</v>
      </c>
      <c r="B67" s="10" t="s">
        <v>188</v>
      </c>
      <c r="C67" s="10" t="s">
        <v>198</v>
      </c>
      <c r="D67" s="10">
        <v>8</v>
      </c>
      <c r="E67" s="55">
        <v>89502</v>
      </c>
    </row>
    <row r="68" spans="1:5" x14ac:dyDescent="0.3">
      <c r="A68" s="54" t="s">
        <v>149</v>
      </c>
      <c r="B68" s="10" t="s">
        <v>190</v>
      </c>
      <c r="C68" s="10" t="s">
        <v>198</v>
      </c>
      <c r="D68" s="10">
        <v>4</v>
      </c>
      <c r="E68" s="55">
        <v>36644</v>
      </c>
    </row>
    <row r="69" spans="1:5" x14ac:dyDescent="0.3">
      <c r="A69" s="54" t="s">
        <v>149</v>
      </c>
      <c r="B69" s="10" t="s">
        <v>189</v>
      </c>
      <c r="C69" s="10" t="s">
        <v>198</v>
      </c>
      <c r="D69" s="10">
        <v>2</v>
      </c>
      <c r="E69" s="55">
        <v>85932</v>
      </c>
    </row>
    <row r="70" spans="1:5" x14ac:dyDescent="0.3">
      <c r="A70" s="54" t="s">
        <v>152</v>
      </c>
      <c r="B70" s="10" t="s">
        <v>189</v>
      </c>
      <c r="C70" s="10" t="s">
        <v>198</v>
      </c>
      <c r="D70" s="10">
        <v>10</v>
      </c>
      <c r="E70" s="55">
        <v>85185</v>
      </c>
    </row>
    <row r="71" spans="1:5" x14ac:dyDescent="0.3">
      <c r="A71" s="54" t="s">
        <v>145</v>
      </c>
      <c r="B71" s="10" t="s">
        <v>190</v>
      </c>
      <c r="C71" s="10" t="s">
        <v>199</v>
      </c>
      <c r="D71" s="10">
        <v>9</v>
      </c>
      <c r="E71" s="55">
        <v>84298</v>
      </c>
    </row>
    <row r="72" spans="1:5" x14ac:dyDescent="0.3">
      <c r="A72" s="54" t="s">
        <v>187</v>
      </c>
      <c r="B72" s="10" t="s">
        <v>189</v>
      </c>
      <c r="C72" s="10" t="s">
        <v>198</v>
      </c>
      <c r="D72" s="10">
        <v>4</v>
      </c>
      <c r="E72" s="55">
        <v>74600</v>
      </c>
    </row>
    <row r="73" spans="1:5" x14ac:dyDescent="0.3">
      <c r="A73" s="54" t="s">
        <v>151</v>
      </c>
      <c r="B73" s="10" t="s">
        <v>186</v>
      </c>
      <c r="C73" s="10" t="s">
        <v>199</v>
      </c>
      <c r="D73" s="10">
        <v>5</v>
      </c>
      <c r="E73" s="55">
        <v>39672</v>
      </c>
    </row>
    <row r="74" spans="1:5" x14ac:dyDescent="0.3">
      <c r="A74" s="54" t="s">
        <v>147</v>
      </c>
      <c r="B74" s="10" t="s">
        <v>189</v>
      </c>
      <c r="C74" s="10" t="s">
        <v>199</v>
      </c>
      <c r="D74" s="10">
        <v>3</v>
      </c>
      <c r="E74" s="55">
        <v>61462</v>
      </c>
    </row>
    <row r="75" spans="1:5" x14ac:dyDescent="0.3">
      <c r="A75" s="54" t="s">
        <v>146</v>
      </c>
      <c r="B75" s="10" t="s">
        <v>190</v>
      </c>
      <c r="C75" s="10" t="s">
        <v>199</v>
      </c>
      <c r="D75" s="10">
        <v>9</v>
      </c>
      <c r="E75" s="55">
        <v>67286</v>
      </c>
    </row>
    <row r="76" spans="1:5" x14ac:dyDescent="0.3">
      <c r="A76" s="54" t="s">
        <v>147</v>
      </c>
      <c r="B76" s="10" t="s">
        <v>188</v>
      </c>
      <c r="C76" s="10" t="s">
        <v>199</v>
      </c>
      <c r="D76" s="10">
        <v>6</v>
      </c>
      <c r="E76" s="55">
        <v>61419</v>
      </c>
    </row>
    <row r="77" spans="1:5" x14ac:dyDescent="0.3">
      <c r="A77" s="54" t="s">
        <v>150</v>
      </c>
      <c r="B77" s="10" t="s">
        <v>186</v>
      </c>
      <c r="C77" s="10" t="s">
        <v>198</v>
      </c>
      <c r="D77" s="10">
        <v>5</v>
      </c>
      <c r="E77" s="55">
        <v>48986</v>
      </c>
    </row>
    <row r="78" spans="1:5" x14ac:dyDescent="0.3">
      <c r="A78" s="54" t="s">
        <v>149</v>
      </c>
      <c r="B78" s="10" t="s">
        <v>188</v>
      </c>
      <c r="C78" s="10" t="s">
        <v>198</v>
      </c>
      <c r="D78" s="10">
        <v>3</v>
      </c>
      <c r="E78" s="55">
        <v>96809</v>
      </c>
    </row>
    <row r="79" spans="1:5" x14ac:dyDescent="0.3">
      <c r="A79" s="54" t="s">
        <v>151</v>
      </c>
      <c r="B79" s="10" t="s">
        <v>186</v>
      </c>
      <c r="C79" s="10" t="s">
        <v>199</v>
      </c>
      <c r="D79" s="10">
        <v>5</v>
      </c>
      <c r="E79" s="55">
        <v>44756</v>
      </c>
    </row>
    <row r="80" spans="1:5" x14ac:dyDescent="0.3">
      <c r="A80" s="54" t="s">
        <v>144</v>
      </c>
      <c r="B80" s="10" t="s">
        <v>186</v>
      </c>
      <c r="C80" s="10" t="s">
        <v>198</v>
      </c>
      <c r="D80" s="10">
        <v>7</v>
      </c>
      <c r="E80" s="55">
        <v>55809</v>
      </c>
    </row>
    <row r="81" spans="1:5" x14ac:dyDescent="0.3">
      <c r="A81" s="54" t="s">
        <v>145</v>
      </c>
      <c r="B81" s="10" t="s">
        <v>186</v>
      </c>
      <c r="C81" s="10" t="s">
        <v>198</v>
      </c>
      <c r="D81" s="10">
        <v>8</v>
      </c>
      <c r="E81" s="55">
        <v>72376</v>
      </c>
    </row>
    <row r="82" spans="1:5" x14ac:dyDescent="0.3">
      <c r="A82" s="54" t="s">
        <v>152</v>
      </c>
      <c r="B82" s="10" t="s">
        <v>189</v>
      </c>
      <c r="C82" s="10" t="s">
        <v>199</v>
      </c>
      <c r="D82" s="10">
        <v>7</v>
      </c>
      <c r="E82" s="55">
        <v>63080</v>
      </c>
    </row>
    <row r="83" spans="1:5" x14ac:dyDescent="0.3">
      <c r="A83" s="54" t="s">
        <v>187</v>
      </c>
      <c r="B83" s="10" t="s">
        <v>189</v>
      </c>
      <c r="C83" s="10" t="s">
        <v>199</v>
      </c>
      <c r="D83" s="10">
        <v>2</v>
      </c>
      <c r="E83" s="55">
        <v>35912</v>
      </c>
    </row>
    <row r="84" spans="1:5" x14ac:dyDescent="0.3">
      <c r="A84" s="54" t="s">
        <v>146</v>
      </c>
      <c r="B84" s="10" t="s">
        <v>186</v>
      </c>
      <c r="C84" s="10" t="s">
        <v>199</v>
      </c>
      <c r="D84" s="10">
        <v>9</v>
      </c>
      <c r="E84" s="55">
        <v>38146</v>
      </c>
    </row>
    <row r="85" spans="1:5" x14ac:dyDescent="0.3">
      <c r="A85" s="54" t="s">
        <v>150</v>
      </c>
      <c r="B85" s="10" t="s">
        <v>188</v>
      </c>
      <c r="C85" s="10" t="s">
        <v>199</v>
      </c>
      <c r="D85" s="10">
        <v>4</v>
      </c>
      <c r="E85" s="55">
        <v>29741</v>
      </c>
    </row>
    <row r="86" spans="1:5" x14ac:dyDescent="0.3">
      <c r="A86" s="54" t="s">
        <v>187</v>
      </c>
      <c r="B86" s="10" t="s">
        <v>189</v>
      </c>
      <c r="C86" s="10" t="s">
        <v>199</v>
      </c>
      <c r="D86" s="10">
        <v>9</v>
      </c>
      <c r="E86" s="55">
        <v>83063</v>
      </c>
    </row>
    <row r="87" spans="1:5" x14ac:dyDescent="0.3">
      <c r="A87" s="54" t="s">
        <v>151</v>
      </c>
      <c r="B87" s="10" t="s">
        <v>188</v>
      </c>
      <c r="C87" s="10" t="s">
        <v>198</v>
      </c>
      <c r="D87" s="10">
        <v>10</v>
      </c>
      <c r="E87" s="55">
        <v>80728</v>
      </c>
    </row>
    <row r="88" spans="1:5" x14ac:dyDescent="0.3">
      <c r="A88" s="54" t="s">
        <v>149</v>
      </c>
      <c r="B88" s="10" t="s">
        <v>188</v>
      </c>
      <c r="C88" s="10" t="s">
        <v>199</v>
      </c>
      <c r="D88" s="10">
        <v>10</v>
      </c>
      <c r="E88" s="55">
        <v>42932</v>
      </c>
    </row>
    <row r="89" spans="1:5" x14ac:dyDescent="0.3">
      <c r="A89" s="54" t="s">
        <v>152</v>
      </c>
      <c r="B89" s="10" t="s">
        <v>188</v>
      </c>
      <c r="C89" s="10" t="s">
        <v>199</v>
      </c>
      <c r="D89" s="10">
        <v>10</v>
      </c>
      <c r="E89" s="55">
        <v>81466</v>
      </c>
    </row>
    <row r="90" spans="1:5" x14ac:dyDescent="0.3">
      <c r="A90" s="54" t="s">
        <v>147</v>
      </c>
      <c r="B90" s="10" t="s">
        <v>189</v>
      </c>
      <c r="C90" s="10" t="s">
        <v>198</v>
      </c>
      <c r="D90" s="10">
        <v>8</v>
      </c>
      <c r="E90" s="55">
        <v>51096</v>
      </c>
    </row>
    <row r="91" spans="1:5" x14ac:dyDescent="0.3">
      <c r="A91" s="54" t="s">
        <v>147</v>
      </c>
      <c r="B91" s="10" t="s">
        <v>186</v>
      </c>
      <c r="C91" s="10" t="s">
        <v>199</v>
      </c>
      <c r="D91" s="10">
        <v>7</v>
      </c>
      <c r="E91" s="55">
        <v>80593</v>
      </c>
    </row>
    <row r="92" spans="1:5" x14ac:dyDescent="0.3">
      <c r="A92" s="54" t="s">
        <v>146</v>
      </c>
      <c r="B92" s="10" t="s">
        <v>188</v>
      </c>
      <c r="C92" s="10" t="s">
        <v>198</v>
      </c>
      <c r="D92" s="10">
        <v>4</v>
      </c>
      <c r="E92" s="55">
        <v>26592</v>
      </c>
    </row>
    <row r="93" spans="1:5" x14ac:dyDescent="0.3">
      <c r="A93" s="54" t="s">
        <v>149</v>
      </c>
      <c r="B93" s="10" t="s">
        <v>190</v>
      </c>
      <c r="C93" s="10" t="s">
        <v>199</v>
      </c>
      <c r="D93" s="10">
        <v>6</v>
      </c>
      <c r="E93" s="55">
        <v>38329</v>
      </c>
    </row>
    <row r="94" spans="1:5" x14ac:dyDescent="0.3">
      <c r="A94" s="54" t="s">
        <v>147</v>
      </c>
      <c r="B94" s="10" t="s">
        <v>190</v>
      </c>
      <c r="C94" s="10" t="s">
        <v>198</v>
      </c>
      <c r="D94" s="10">
        <v>10</v>
      </c>
      <c r="E94" s="55">
        <v>65496</v>
      </c>
    </row>
    <row r="95" spans="1:5" x14ac:dyDescent="0.3">
      <c r="A95" s="54" t="s">
        <v>147</v>
      </c>
      <c r="B95" s="10" t="s">
        <v>189</v>
      </c>
      <c r="C95" s="10" t="s">
        <v>199</v>
      </c>
      <c r="D95" s="10">
        <v>7</v>
      </c>
      <c r="E95" s="55">
        <v>96515</v>
      </c>
    </row>
    <row r="96" spans="1:5" x14ac:dyDescent="0.3">
      <c r="A96" s="54" t="s">
        <v>187</v>
      </c>
      <c r="B96" s="10" t="s">
        <v>190</v>
      </c>
      <c r="C96" s="10" t="s">
        <v>199</v>
      </c>
      <c r="D96" s="10">
        <v>7</v>
      </c>
      <c r="E96" s="55">
        <v>52321</v>
      </c>
    </row>
    <row r="97" spans="1:5" x14ac:dyDescent="0.3">
      <c r="A97" s="54" t="s">
        <v>151</v>
      </c>
      <c r="B97" s="10" t="s">
        <v>188</v>
      </c>
      <c r="C97" s="10" t="s">
        <v>199</v>
      </c>
      <c r="D97" s="10">
        <v>5</v>
      </c>
      <c r="E97" s="55">
        <v>41414</v>
      </c>
    </row>
    <row r="98" spans="1:5" x14ac:dyDescent="0.3">
      <c r="A98" s="54" t="s">
        <v>147</v>
      </c>
      <c r="B98" s="10" t="s">
        <v>189</v>
      </c>
      <c r="C98" s="10" t="s">
        <v>199</v>
      </c>
      <c r="D98" s="10">
        <v>9</v>
      </c>
      <c r="E98" s="55">
        <v>92518</v>
      </c>
    </row>
    <row r="99" spans="1:5" x14ac:dyDescent="0.3">
      <c r="A99" s="54" t="s">
        <v>187</v>
      </c>
      <c r="B99" s="10" t="s">
        <v>188</v>
      </c>
      <c r="C99" s="10" t="s">
        <v>198</v>
      </c>
      <c r="D99" s="10">
        <v>7</v>
      </c>
      <c r="E99" s="55">
        <v>71429</v>
      </c>
    </row>
    <row r="100" spans="1:5" x14ac:dyDescent="0.3">
      <c r="A100" s="54" t="s">
        <v>146</v>
      </c>
      <c r="B100" s="10" t="s">
        <v>190</v>
      </c>
      <c r="C100" s="10" t="s">
        <v>199</v>
      </c>
      <c r="D100" s="10">
        <v>3</v>
      </c>
      <c r="E100" s="55">
        <v>29696</v>
      </c>
    </row>
    <row r="101" spans="1:5" x14ac:dyDescent="0.3">
      <c r="A101" s="54" t="s">
        <v>146</v>
      </c>
      <c r="B101" s="10" t="s">
        <v>186</v>
      </c>
      <c r="C101" s="10" t="s">
        <v>198</v>
      </c>
      <c r="D101" s="10">
        <v>6</v>
      </c>
      <c r="E101" s="55">
        <v>68521</v>
      </c>
    </row>
    <row r="102" spans="1:5" x14ac:dyDescent="0.3">
      <c r="A102" s="54" t="s">
        <v>149</v>
      </c>
      <c r="B102" s="10" t="s">
        <v>190</v>
      </c>
      <c r="C102" s="10" t="s">
        <v>199</v>
      </c>
      <c r="D102" s="10">
        <v>8</v>
      </c>
      <c r="E102" s="55">
        <v>98044</v>
      </c>
    </row>
    <row r="103" spans="1:5" x14ac:dyDescent="0.3">
      <c r="A103" s="54" t="s">
        <v>152</v>
      </c>
      <c r="B103" s="10" t="s">
        <v>186</v>
      </c>
      <c r="C103" s="10" t="s">
        <v>199</v>
      </c>
      <c r="D103" s="10">
        <v>2</v>
      </c>
      <c r="E103" s="55">
        <v>93714</v>
      </c>
    </row>
    <row r="104" spans="1:5" x14ac:dyDescent="0.3">
      <c r="A104" s="54" t="s">
        <v>187</v>
      </c>
      <c r="B104" s="10" t="s">
        <v>190</v>
      </c>
      <c r="C104" s="10" t="s">
        <v>199</v>
      </c>
      <c r="D104" s="10">
        <v>3</v>
      </c>
      <c r="E104" s="55">
        <v>93063</v>
      </c>
    </row>
    <row r="105" spans="1:5" x14ac:dyDescent="0.3">
      <c r="A105" s="54" t="s">
        <v>146</v>
      </c>
      <c r="B105" s="10" t="s">
        <v>189</v>
      </c>
      <c r="C105" s="10" t="s">
        <v>199</v>
      </c>
      <c r="D105" s="10">
        <v>2</v>
      </c>
      <c r="E105" s="55">
        <v>99658</v>
      </c>
    </row>
    <row r="106" spans="1:5" x14ac:dyDescent="0.3">
      <c r="A106" s="54" t="s">
        <v>187</v>
      </c>
      <c r="B106" s="10" t="s">
        <v>188</v>
      </c>
      <c r="C106" s="10" t="s">
        <v>198</v>
      </c>
      <c r="D106" s="10">
        <v>8</v>
      </c>
      <c r="E106" s="55">
        <v>76480</v>
      </c>
    </row>
    <row r="107" spans="1:5" x14ac:dyDescent="0.3">
      <c r="A107" s="54" t="s">
        <v>148</v>
      </c>
      <c r="B107" s="10" t="s">
        <v>188</v>
      </c>
      <c r="C107" s="10" t="s">
        <v>198</v>
      </c>
      <c r="D107" s="10">
        <v>10</v>
      </c>
      <c r="E107" s="55">
        <v>89023</v>
      </c>
    </row>
    <row r="108" spans="1:5" x14ac:dyDescent="0.3">
      <c r="A108" s="54" t="s">
        <v>147</v>
      </c>
      <c r="B108" s="10" t="s">
        <v>190</v>
      </c>
      <c r="C108" s="10" t="s">
        <v>198</v>
      </c>
      <c r="D108" s="10">
        <v>4</v>
      </c>
      <c r="E108" s="55">
        <v>82157</v>
      </c>
    </row>
    <row r="109" spans="1:5" x14ac:dyDescent="0.3">
      <c r="A109" s="54" t="s">
        <v>151</v>
      </c>
      <c r="B109" s="10" t="s">
        <v>189</v>
      </c>
      <c r="C109" s="10" t="s">
        <v>199</v>
      </c>
      <c r="D109" s="10">
        <v>2</v>
      </c>
      <c r="E109" s="55">
        <v>45788</v>
      </c>
    </row>
    <row r="110" spans="1:5" x14ac:dyDescent="0.3">
      <c r="A110" s="54" t="s">
        <v>150</v>
      </c>
      <c r="B110" s="10" t="s">
        <v>186</v>
      </c>
      <c r="C110" s="10" t="s">
        <v>198</v>
      </c>
      <c r="D110" s="10">
        <v>7</v>
      </c>
      <c r="E110" s="55">
        <v>95014</v>
      </c>
    </row>
    <row r="111" spans="1:5" x14ac:dyDescent="0.3">
      <c r="A111" s="54" t="s">
        <v>148</v>
      </c>
      <c r="B111" s="10" t="s">
        <v>189</v>
      </c>
      <c r="C111" s="10" t="s">
        <v>199</v>
      </c>
      <c r="D111" s="10">
        <v>10</v>
      </c>
      <c r="E111" s="55">
        <v>87453</v>
      </c>
    </row>
    <row r="112" spans="1:5" x14ac:dyDescent="0.3">
      <c r="A112" s="54" t="s">
        <v>148</v>
      </c>
      <c r="B112" s="10" t="s">
        <v>188</v>
      </c>
      <c r="C112" s="10" t="s">
        <v>199</v>
      </c>
      <c r="D112" s="10">
        <v>7</v>
      </c>
      <c r="E112" s="55">
        <v>68629</v>
      </c>
    </row>
    <row r="113" spans="1:5" x14ac:dyDescent="0.3">
      <c r="A113" s="54" t="s">
        <v>147</v>
      </c>
      <c r="B113" s="10" t="s">
        <v>188</v>
      </c>
      <c r="C113" s="10" t="s">
        <v>198</v>
      </c>
      <c r="D113" s="10">
        <v>10</v>
      </c>
      <c r="E113" s="55">
        <v>63458</v>
      </c>
    </row>
    <row r="114" spans="1:5" x14ac:dyDescent="0.3">
      <c r="A114" s="54" t="s">
        <v>145</v>
      </c>
      <c r="B114" s="10" t="s">
        <v>186</v>
      </c>
      <c r="C114" s="10" t="s">
        <v>198</v>
      </c>
      <c r="D114" s="10">
        <v>5</v>
      </c>
      <c r="E114" s="55">
        <v>30052</v>
      </c>
    </row>
    <row r="115" spans="1:5" x14ac:dyDescent="0.3">
      <c r="A115" s="54" t="s">
        <v>145</v>
      </c>
      <c r="B115" s="10" t="s">
        <v>188</v>
      </c>
      <c r="C115" s="10" t="s">
        <v>199</v>
      </c>
      <c r="D115" s="10">
        <v>4</v>
      </c>
      <c r="E115" s="55">
        <v>42237</v>
      </c>
    </row>
    <row r="116" spans="1:5" x14ac:dyDescent="0.3">
      <c r="A116" s="54" t="s">
        <v>151</v>
      </c>
      <c r="B116" s="10" t="s">
        <v>188</v>
      </c>
      <c r="C116" s="10" t="s">
        <v>198</v>
      </c>
      <c r="D116" s="10">
        <v>6</v>
      </c>
      <c r="E116" s="55">
        <v>43332</v>
      </c>
    </row>
    <row r="117" spans="1:5" x14ac:dyDescent="0.3">
      <c r="A117" s="54" t="s">
        <v>144</v>
      </c>
      <c r="B117" s="10" t="s">
        <v>189</v>
      </c>
      <c r="C117" s="10" t="s">
        <v>199</v>
      </c>
      <c r="D117" s="10">
        <v>5</v>
      </c>
      <c r="E117" s="55">
        <v>40397</v>
      </c>
    </row>
    <row r="118" spans="1:5" x14ac:dyDescent="0.3">
      <c r="A118" s="54" t="s">
        <v>145</v>
      </c>
      <c r="B118" s="10" t="s">
        <v>186</v>
      </c>
      <c r="C118" s="10" t="s">
        <v>198</v>
      </c>
      <c r="D118" s="10">
        <v>2</v>
      </c>
      <c r="E118" s="55">
        <v>47994</v>
      </c>
    </row>
    <row r="119" spans="1:5" x14ac:dyDescent="0.3">
      <c r="A119" s="54" t="s">
        <v>144</v>
      </c>
      <c r="B119" s="10" t="s">
        <v>188</v>
      </c>
      <c r="C119" s="10" t="s">
        <v>199</v>
      </c>
      <c r="D119" s="10">
        <v>1</v>
      </c>
      <c r="E119" s="55">
        <v>28012</v>
      </c>
    </row>
    <row r="120" spans="1:5" x14ac:dyDescent="0.3">
      <c r="A120" s="54" t="s">
        <v>187</v>
      </c>
      <c r="B120" s="10" t="s">
        <v>188</v>
      </c>
      <c r="C120" s="10" t="s">
        <v>198</v>
      </c>
      <c r="D120" s="10">
        <v>10</v>
      </c>
      <c r="E120" s="55">
        <v>90778</v>
      </c>
    </row>
    <row r="121" spans="1:5" x14ac:dyDescent="0.3">
      <c r="A121" s="54" t="s">
        <v>150</v>
      </c>
      <c r="B121" s="10" t="s">
        <v>189</v>
      </c>
      <c r="C121" s="10" t="s">
        <v>198</v>
      </c>
      <c r="D121" s="10">
        <v>5</v>
      </c>
      <c r="E121" s="55">
        <v>47637</v>
      </c>
    </row>
    <row r="122" spans="1:5" x14ac:dyDescent="0.3">
      <c r="A122" s="54" t="s">
        <v>144</v>
      </c>
      <c r="B122" s="10" t="s">
        <v>189</v>
      </c>
      <c r="C122" s="10" t="s">
        <v>199</v>
      </c>
      <c r="D122" s="10">
        <v>5</v>
      </c>
      <c r="E122" s="55">
        <v>59761</v>
      </c>
    </row>
    <row r="123" spans="1:5" x14ac:dyDescent="0.3">
      <c r="A123" s="54" t="s">
        <v>187</v>
      </c>
      <c r="B123" s="10" t="s">
        <v>186</v>
      </c>
      <c r="C123" s="10" t="s">
        <v>198</v>
      </c>
      <c r="D123" s="10">
        <v>1</v>
      </c>
      <c r="E123" s="55">
        <v>78000</v>
      </c>
    </row>
    <row r="124" spans="1:5" x14ac:dyDescent="0.3">
      <c r="A124" s="54" t="s">
        <v>145</v>
      </c>
      <c r="B124" s="10" t="s">
        <v>189</v>
      </c>
      <c r="C124" s="10" t="s">
        <v>198</v>
      </c>
      <c r="D124" s="10">
        <v>1</v>
      </c>
      <c r="E124" s="55">
        <v>27755</v>
      </c>
    </row>
    <row r="125" spans="1:5" x14ac:dyDescent="0.3">
      <c r="A125" s="54" t="s">
        <v>148</v>
      </c>
      <c r="B125" s="10" t="s">
        <v>190</v>
      </c>
      <c r="C125" s="10" t="s">
        <v>198</v>
      </c>
      <c r="D125" s="10">
        <v>5</v>
      </c>
      <c r="E125" s="55">
        <v>72084</v>
      </c>
    </row>
    <row r="126" spans="1:5" x14ac:dyDescent="0.3">
      <c r="A126" s="54" t="s">
        <v>149</v>
      </c>
      <c r="B126" s="10" t="s">
        <v>186</v>
      </c>
      <c r="C126" s="10" t="s">
        <v>198</v>
      </c>
      <c r="D126" s="10">
        <v>5</v>
      </c>
      <c r="E126" s="55">
        <v>59358</v>
      </c>
    </row>
    <row r="127" spans="1:5" x14ac:dyDescent="0.3">
      <c r="A127" s="54" t="s">
        <v>148</v>
      </c>
      <c r="B127" s="10" t="s">
        <v>188</v>
      </c>
      <c r="C127" s="10" t="s">
        <v>198</v>
      </c>
      <c r="D127" s="10">
        <v>9</v>
      </c>
      <c r="E127" s="55">
        <v>67695</v>
      </c>
    </row>
    <row r="128" spans="1:5" x14ac:dyDescent="0.3">
      <c r="A128" s="54" t="s">
        <v>147</v>
      </c>
      <c r="B128" s="10" t="s">
        <v>186</v>
      </c>
      <c r="C128" s="10" t="s">
        <v>198</v>
      </c>
      <c r="D128" s="10">
        <v>9</v>
      </c>
      <c r="E128" s="55">
        <v>91097</v>
      </c>
    </row>
    <row r="129" spans="1:5" x14ac:dyDescent="0.3">
      <c r="A129" s="54" t="s">
        <v>187</v>
      </c>
      <c r="B129" s="10" t="s">
        <v>189</v>
      </c>
      <c r="C129" s="10" t="s">
        <v>199</v>
      </c>
      <c r="D129" s="10">
        <v>2</v>
      </c>
      <c r="E129" s="55">
        <v>29416</v>
      </c>
    </row>
    <row r="130" spans="1:5" x14ac:dyDescent="0.3">
      <c r="A130" s="54" t="s">
        <v>147</v>
      </c>
      <c r="B130" s="10" t="s">
        <v>186</v>
      </c>
      <c r="C130" s="10" t="s">
        <v>198</v>
      </c>
      <c r="D130" s="10">
        <v>5</v>
      </c>
      <c r="E130" s="55">
        <v>79764</v>
      </c>
    </row>
    <row r="131" spans="1:5" x14ac:dyDescent="0.3">
      <c r="A131" s="54" t="s">
        <v>148</v>
      </c>
      <c r="B131" s="10" t="s">
        <v>189</v>
      </c>
      <c r="C131" s="10" t="s">
        <v>199</v>
      </c>
      <c r="D131" s="10">
        <v>2</v>
      </c>
      <c r="E131" s="55">
        <v>59262</v>
      </c>
    </row>
    <row r="132" spans="1:5" x14ac:dyDescent="0.3">
      <c r="A132" s="54" t="s">
        <v>149</v>
      </c>
      <c r="B132" s="10" t="s">
        <v>189</v>
      </c>
      <c r="C132" s="10" t="s">
        <v>198</v>
      </c>
      <c r="D132" s="10">
        <v>3</v>
      </c>
      <c r="E132" s="55">
        <v>54052</v>
      </c>
    </row>
    <row r="133" spans="1:5" x14ac:dyDescent="0.3">
      <c r="A133" s="54" t="s">
        <v>151</v>
      </c>
      <c r="B133" s="10" t="s">
        <v>188</v>
      </c>
      <c r="C133" s="10" t="s">
        <v>198</v>
      </c>
      <c r="D133" s="10">
        <v>7</v>
      </c>
      <c r="E133" s="55">
        <v>63674</v>
      </c>
    </row>
    <row r="134" spans="1:5" x14ac:dyDescent="0.3">
      <c r="A134" s="54" t="s">
        <v>144</v>
      </c>
      <c r="B134" s="10" t="s">
        <v>190</v>
      </c>
      <c r="C134" s="10" t="s">
        <v>198</v>
      </c>
      <c r="D134" s="10">
        <v>9</v>
      </c>
      <c r="E134" s="55">
        <v>45560</v>
      </c>
    </row>
    <row r="135" spans="1:5" x14ac:dyDescent="0.3">
      <c r="A135" s="54" t="s">
        <v>146</v>
      </c>
      <c r="B135" s="10" t="s">
        <v>189</v>
      </c>
      <c r="C135" s="10" t="s">
        <v>198</v>
      </c>
      <c r="D135" s="10">
        <v>1</v>
      </c>
      <c r="E135" s="55">
        <v>58231</v>
      </c>
    </row>
    <row r="136" spans="1:5" x14ac:dyDescent="0.3">
      <c r="A136" s="54" t="s">
        <v>147</v>
      </c>
      <c r="B136" s="10" t="s">
        <v>190</v>
      </c>
      <c r="C136" s="10" t="s">
        <v>198</v>
      </c>
      <c r="D136" s="10">
        <v>9</v>
      </c>
      <c r="E136" s="55">
        <v>70935</v>
      </c>
    </row>
    <row r="137" spans="1:5" x14ac:dyDescent="0.3">
      <c r="A137" s="54" t="s">
        <v>152</v>
      </c>
      <c r="B137" s="10" t="s">
        <v>190</v>
      </c>
      <c r="C137" s="10" t="s">
        <v>198</v>
      </c>
      <c r="D137" s="10">
        <v>9</v>
      </c>
      <c r="E137" s="55">
        <v>52659</v>
      </c>
    </row>
    <row r="138" spans="1:5" x14ac:dyDescent="0.3">
      <c r="A138" s="54" t="s">
        <v>150</v>
      </c>
      <c r="B138" s="10" t="s">
        <v>190</v>
      </c>
      <c r="C138" s="10" t="s">
        <v>198</v>
      </c>
      <c r="D138" s="10">
        <v>8</v>
      </c>
      <c r="E138" s="55">
        <v>69394</v>
      </c>
    </row>
    <row r="139" spans="1:5" x14ac:dyDescent="0.3">
      <c r="A139" s="54" t="s">
        <v>150</v>
      </c>
      <c r="B139" s="10" t="s">
        <v>189</v>
      </c>
      <c r="C139" s="10" t="s">
        <v>199</v>
      </c>
      <c r="D139" s="10">
        <v>5</v>
      </c>
      <c r="E139" s="55">
        <v>63677</v>
      </c>
    </row>
    <row r="140" spans="1:5" x14ac:dyDescent="0.3">
      <c r="A140" s="54" t="s">
        <v>150</v>
      </c>
      <c r="B140" s="10" t="s">
        <v>186</v>
      </c>
      <c r="C140" s="10" t="s">
        <v>198</v>
      </c>
      <c r="D140" s="10">
        <v>7</v>
      </c>
      <c r="E140" s="55">
        <v>93157</v>
      </c>
    </row>
    <row r="141" spans="1:5" x14ac:dyDescent="0.3">
      <c r="A141" s="54" t="s">
        <v>146</v>
      </c>
      <c r="B141" s="10" t="s">
        <v>188</v>
      </c>
      <c r="C141" s="10" t="s">
        <v>199</v>
      </c>
      <c r="D141" s="10">
        <v>8</v>
      </c>
      <c r="E141" s="55">
        <v>92114</v>
      </c>
    </row>
    <row r="142" spans="1:5" x14ac:dyDescent="0.3">
      <c r="A142" s="54" t="s">
        <v>150</v>
      </c>
      <c r="B142" s="10" t="s">
        <v>186</v>
      </c>
      <c r="C142" s="10" t="s">
        <v>199</v>
      </c>
      <c r="D142" s="10">
        <v>3</v>
      </c>
      <c r="E142" s="55">
        <v>54355</v>
      </c>
    </row>
    <row r="143" spans="1:5" x14ac:dyDescent="0.3">
      <c r="A143" s="54" t="s">
        <v>187</v>
      </c>
      <c r="B143" s="10" t="s">
        <v>189</v>
      </c>
      <c r="C143" s="10" t="s">
        <v>198</v>
      </c>
      <c r="D143" s="10">
        <v>3</v>
      </c>
      <c r="E143" s="55">
        <v>42339</v>
      </c>
    </row>
    <row r="144" spans="1:5" x14ac:dyDescent="0.3">
      <c r="A144" s="54" t="s">
        <v>151</v>
      </c>
      <c r="B144" s="10" t="s">
        <v>189</v>
      </c>
      <c r="C144" s="10" t="s">
        <v>198</v>
      </c>
      <c r="D144" s="10">
        <v>6</v>
      </c>
      <c r="E144" s="55">
        <v>90254</v>
      </c>
    </row>
    <row r="145" spans="1:5" x14ac:dyDescent="0.3">
      <c r="A145" s="54" t="s">
        <v>152</v>
      </c>
      <c r="B145" s="10" t="s">
        <v>190</v>
      </c>
      <c r="C145" s="10" t="s">
        <v>198</v>
      </c>
      <c r="D145" s="10">
        <v>8</v>
      </c>
      <c r="E145" s="55">
        <v>30891</v>
      </c>
    </row>
    <row r="146" spans="1:5" x14ac:dyDescent="0.3">
      <c r="A146" s="54" t="s">
        <v>149</v>
      </c>
      <c r="B146" s="10" t="s">
        <v>188</v>
      </c>
      <c r="C146" s="10" t="s">
        <v>199</v>
      </c>
      <c r="D146" s="10">
        <v>4</v>
      </c>
      <c r="E146" s="55">
        <v>92727</v>
      </c>
    </row>
    <row r="147" spans="1:5" x14ac:dyDescent="0.3">
      <c r="A147" s="54" t="s">
        <v>145</v>
      </c>
      <c r="B147" s="10" t="s">
        <v>188</v>
      </c>
      <c r="C147" s="10" t="s">
        <v>199</v>
      </c>
      <c r="D147" s="10">
        <v>5</v>
      </c>
      <c r="E147" s="55">
        <v>54383</v>
      </c>
    </row>
    <row r="148" spans="1:5" x14ac:dyDescent="0.3">
      <c r="A148" s="54" t="s">
        <v>145</v>
      </c>
      <c r="B148" s="10" t="s">
        <v>188</v>
      </c>
      <c r="C148" s="10" t="s">
        <v>198</v>
      </c>
      <c r="D148" s="10">
        <v>10</v>
      </c>
      <c r="E148" s="55">
        <v>49459</v>
      </c>
    </row>
    <row r="149" spans="1:5" x14ac:dyDescent="0.3">
      <c r="A149" s="54" t="s">
        <v>145</v>
      </c>
      <c r="B149" s="10" t="s">
        <v>189</v>
      </c>
      <c r="C149" s="10" t="s">
        <v>199</v>
      </c>
      <c r="D149" s="10">
        <v>3</v>
      </c>
      <c r="E149" s="55">
        <v>72163</v>
      </c>
    </row>
    <row r="150" spans="1:5" x14ac:dyDescent="0.3">
      <c r="A150" s="54" t="s">
        <v>145</v>
      </c>
      <c r="B150" s="10" t="s">
        <v>190</v>
      </c>
      <c r="C150" s="10" t="s">
        <v>199</v>
      </c>
      <c r="D150" s="10">
        <v>1</v>
      </c>
      <c r="E150" s="55">
        <v>53809</v>
      </c>
    </row>
    <row r="151" spans="1:5" x14ac:dyDescent="0.3">
      <c r="A151" s="54" t="s">
        <v>149</v>
      </c>
      <c r="B151" s="10" t="s">
        <v>190</v>
      </c>
      <c r="C151" s="10" t="s">
        <v>199</v>
      </c>
      <c r="D151" s="10">
        <v>6</v>
      </c>
      <c r="E151" s="55">
        <v>95065</v>
      </c>
    </row>
    <row r="152" spans="1:5" x14ac:dyDescent="0.3">
      <c r="A152" s="38" t="s">
        <v>145</v>
      </c>
      <c r="B152" s="56" t="s">
        <v>188</v>
      </c>
      <c r="C152" s="56" t="s">
        <v>199</v>
      </c>
      <c r="D152" s="56">
        <v>7</v>
      </c>
      <c r="E152" s="37">
        <v>65354</v>
      </c>
    </row>
  </sheetData>
  <mergeCells count="4">
    <mergeCell ref="H2:L7"/>
    <mergeCell ref="H9:L10"/>
    <mergeCell ref="G9:G10"/>
    <mergeCell ref="H14:N14"/>
  </mergeCell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J152"/>
  <sheetViews>
    <sheetView workbookViewId="0">
      <selection activeCell="O53" sqref="O53"/>
    </sheetView>
  </sheetViews>
  <sheetFormatPr defaultColWidth="13.6640625" defaultRowHeight="14.4" x14ac:dyDescent="0.3"/>
  <cols>
    <col min="2" max="2" width="12.5546875" customWidth="1"/>
    <col min="4" max="4" width="14.77734375" bestFit="1" customWidth="1"/>
    <col min="5" max="5" width="15.6640625" customWidth="1"/>
  </cols>
  <sheetData>
    <row r="2" spans="1:10" ht="18" customHeight="1" x14ac:dyDescent="0.3">
      <c r="A2" s="15" t="s">
        <v>200</v>
      </c>
      <c r="B2" s="15" t="s">
        <v>201</v>
      </c>
      <c r="C2" s="15" t="s">
        <v>202</v>
      </c>
      <c r="D2" s="15" t="s">
        <v>365</v>
      </c>
      <c r="F2" s="146" t="s">
        <v>371</v>
      </c>
      <c r="G2" s="147"/>
      <c r="H2" s="147"/>
      <c r="I2" s="147"/>
      <c r="J2" s="147"/>
    </row>
    <row r="3" spans="1:10" ht="16.2" customHeight="1" x14ac:dyDescent="0.3">
      <c r="A3" s="4" t="s">
        <v>203</v>
      </c>
      <c r="B3" s="4">
        <v>86</v>
      </c>
      <c r="C3" s="4">
        <v>1309756</v>
      </c>
      <c r="D3" s="16" t="str">
        <f>IF(OR(B3&gt;50,C3&gt;1000000),"High Value Order","Normal Order")</f>
        <v>High Value Order</v>
      </c>
      <c r="F3" s="147"/>
      <c r="G3" s="147"/>
      <c r="H3" s="147"/>
      <c r="I3" s="147"/>
      <c r="J3" s="147"/>
    </row>
    <row r="4" spans="1:10" x14ac:dyDescent="0.3">
      <c r="A4" s="4" t="s">
        <v>204</v>
      </c>
      <c r="B4" s="4">
        <v>80</v>
      </c>
      <c r="C4" s="4">
        <v>942034</v>
      </c>
      <c r="D4" s="16" t="str">
        <f t="shared" ref="D4:D67" si="0">IF(OR(B4&gt;50,C4&gt;1000000),"High Value Order","Normal Order")</f>
        <v>High Value Order</v>
      </c>
      <c r="F4" s="147"/>
      <c r="G4" s="147"/>
      <c r="H4" s="147"/>
      <c r="I4" s="147"/>
      <c r="J4" s="147"/>
    </row>
    <row r="5" spans="1:10" x14ac:dyDescent="0.3">
      <c r="A5" s="4" t="s">
        <v>205</v>
      </c>
      <c r="B5" s="4">
        <v>52</v>
      </c>
      <c r="C5" s="4">
        <v>1257806</v>
      </c>
      <c r="D5" s="16" t="str">
        <f t="shared" si="0"/>
        <v>High Value Order</v>
      </c>
      <c r="F5" s="147"/>
      <c r="G5" s="147"/>
      <c r="H5" s="147"/>
      <c r="I5" s="147"/>
      <c r="J5" s="147"/>
    </row>
    <row r="6" spans="1:10" x14ac:dyDescent="0.3">
      <c r="A6" s="4" t="s">
        <v>206</v>
      </c>
      <c r="B6" s="4">
        <v>96</v>
      </c>
      <c r="C6" s="4">
        <v>884975</v>
      </c>
      <c r="D6" s="16" t="str">
        <f t="shared" si="0"/>
        <v>High Value Order</v>
      </c>
      <c r="F6" s="147"/>
      <c r="G6" s="147"/>
      <c r="H6" s="147"/>
      <c r="I6" s="147"/>
      <c r="J6" s="147"/>
    </row>
    <row r="7" spans="1:10" x14ac:dyDescent="0.3">
      <c r="A7" s="4" t="s">
        <v>207</v>
      </c>
      <c r="B7" s="4">
        <v>72</v>
      </c>
      <c r="C7" s="4">
        <v>1180393</v>
      </c>
      <c r="D7" s="16" t="str">
        <f t="shared" si="0"/>
        <v>High Value Order</v>
      </c>
    </row>
    <row r="8" spans="1:10" x14ac:dyDescent="0.3">
      <c r="A8" s="4" t="s">
        <v>208</v>
      </c>
      <c r="B8" s="4">
        <v>100</v>
      </c>
      <c r="C8" s="4">
        <v>664547</v>
      </c>
      <c r="D8" s="16" t="str">
        <f t="shared" si="0"/>
        <v>High Value Order</v>
      </c>
    </row>
    <row r="9" spans="1:10" x14ac:dyDescent="0.3">
      <c r="A9" s="4" t="s">
        <v>209</v>
      </c>
      <c r="B9" s="4">
        <v>7</v>
      </c>
      <c r="C9" s="4">
        <v>948959</v>
      </c>
      <c r="D9" s="16" t="str">
        <f t="shared" si="0"/>
        <v>Normal Order</v>
      </c>
      <c r="F9" s="122" t="s">
        <v>756</v>
      </c>
      <c r="G9" s="122"/>
      <c r="H9" s="122"/>
      <c r="I9" s="122"/>
      <c r="J9" s="122"/>
    </row>
    <row r="10" spans="1:10" x14ac:dyDescent="0.3">
      <c r="A10" s="4" t="s">
        <v>210</v>
      </c>
      <c r="B10" s="4">
        <v>69</v>
      </c>
      <c r="C10" s="4">
        <v>974090</v>
      </c>
      <c r="D10" s="16" t="str">
        <f t="shared" si="0"/>
        <v>High Value Order</v>
      </c>
    </row>
    <row r="11" spans="1:10" x14ac:dyDescent="0.3">
      <c r="A11" s="4" t="s">
        <v>211</v>
      </c>
      <c r="B11" s="4">
        <v>61</v>
      </c>
      <c r="C11" s="4">
        <v>1206631</v>
      </c>
      <c r="D11" s="16" t="str">
        <f t="shared" si="0"/>
        <v>High Value Order</v>
      </c>
    </row>
    <row r="12" spans="1:10" x14ac:dyDescent="0.3">
      <c r="A12" s="4" t="s">
        <v>212</v>
      </c>
      <c r="B12" s="4">
        <v>41</v>
      </c>
      <c r="C12" s="4">
        <v>582677</v>
      </c>
      <c r="D12" s="16" t="str">
        <f t="shared" si="0"/>
        <v>Normal Order</v>
      </c>
    </row>
    <row r="13" spans="1:10" x14ac:dyDescent="0.3">
      <c r="A13" s="4" t="s">
        <v>213</v>
      </c>
      <c r="B13" s="4">
        <v>48</v>
      </c>
      <c r="C13" s="4">
        <v>808708</v>
      </c>
      <c r="D13" s="16" t="str">
        <f t="shared" si="0"/>
        <v>Normal Order</v>
      </c>
    </row>
    <row r="14" spans="1:10" x14ac:dyDescent="0.3">
      <c r="A14" s="4" t="s">
        <v>214</v>
      </c>
      <c r="B14" s="4">
        <v>87</v>
      </c>
      <c r="C14" s="4">
        <v>982319</v>
      </c>
      <c r="D14" s="16" t="str">
        <f t="shared" si="0"/>
        <v>High Value Order</v>
      </c>
    </row>
    <row r="15" spans="1:10" x14ac:dyDescent="0.3">
      <c r="A15" s="4" t="s">
        <v>215</v>
      </c>
      <c r="B15" s="4">
        <v>6</v>
      </c>
      <c r="C15" s="4">
        <v>1421884</v>
      </c>
      <c r="D15" s="16" t="str">
        <f t="shared" si="0"/>
        <v>High Value Order</v>
      </c>
    </row>
    <row r="16" spans="1:10" x14ac:dyDescent="0.3">
      <c r="A16" s="4" t="s">
        <v>216</v>
      </c>
      <c r="B16" s="4">
        <v>36</v>
      </c>
      <c r="C16" s="4">
        <v>1079731</v>
      </c>
      <c r="D16" s="16" t="str">
        <f t="shared" si="0"/>
        <v>High Value Order</v>
      </c>
    </row>
    <row r="17" spans="1:4" x14ac:dyDescent="0.3">
      <c r="A17" s="4" t="s">
        <v>217</v>
      </c>
      <c r="B17" s="4">
        <v>48</v>
      </c>
      <c r="C17" s="4">
        <v>449837</v>
      </c>
      <c r="D17" s="16" t="str">
        <f t="shared" si="0"/>
        <v>Normal Order</v>
      </c>
    </row>
    <row r="18" spans="1:4" x14ac:dyDescent="0.3">
      <c r="A18" s="4" t="s">
        <v>218</v>
      </c>
      <c r="B18" s="4">
        <v>55</v>
      </c>
      <c r="C18" s="4">
        <v>664484</v>
      </c>
      <c r="D18" s="16" t="str">
        <f t="shared" si="0"/>
        <v>High Value Order</v>
      </c>
    </row>
    <row r="19" spans="1:4" x14ac:dyDescent="0.3">
      <c r="A19" s="4" t="s">
        <v>219</v>
      </c>
      <c r="B19" s="4">
        <v>88</v>
      </c>
      <c r="C19" s="4">
        <v>1200716</v>
      </c>
      <c r="D19" s="16" t="str">
        <f t="shared" si="0"/>
        <v>High Value Order</v>
      </c>
    </row>
    <row r="20" spans="1:4" x14ac:dyDescent="0.3">
      <c r="A20" s="4" t="s">
        <v>220</v>
      </c>
      <c r="B20" s="4">
        <v>93</v>
      </c>
      <c r="C20" s="4">
        <v>680169</v>
      </c>
      <c r="D20" s="16" t="str">
        <f t="shared" si="0"/>
        <v>High Value Order</v>
      </c>
    </row>
    <row r="21" spans="1:4" x14ac:dyDescent="0.3">
      <c r="A21" s="4" t="s">
        <v>221</v>
      </c>
      <c r="B21" s="4">
        <v>79</v>
      </c>
      <c r="C21" s="4">
        <v>847670</v>
      </c>
      <c r="D21" s="16" t="str">
        <f t="shared" si="0"/>
        <v>High Value Order</v>
      </c>
    </row>
    <row r="22" spans="1:4" x14ac:dyDescent="0.3">
      <c r="A22" s="4" t="s">
        <v>222</v>
      </c>
      <c r="B22" s="4">
        <v>62</v>
      </c>
      <c r="C22" s="4">
        <v>473579</v>
      </c>
      <c r="D22" s="16" t="str">
        <f t="shared" si="0"/>
        <v>High Value Order</v>
      </c>
    </row>
    <row r="23" spans="1:4" x14ac:dyDescent="0.3">
      <c r="A23" s="4" t="s">
        <v>223</v>
      </c>
      <c r="B23" s="4">
        <v>94</v>
      </c>
      <c r="C23" s="4">
        <v>714962</v>
      </c>
      <c r="D23" s="16" t="str">
        <f t="shared" si="0"/>
        <v>High Value Order</v>
      </c>
    </row>
    <row r="24" spans="1:4" x14ac:dyDescent="0.3">
      <c r="A24" s="4" t="s">
        <v>224</v>
      </c>
      <c r="B24" s="4">
        <v>31</v>
      </c>
      <c r="C24" s="4">
        <v>1020026</v>
      </c>
      <c r="D24" s="16" t="str">
        <f t="shared" si="0"/>
        <v>High Value Order</v>
      </c>
    </row>
    <row r="25" spans="1:4" x14ac:dyDescent="0.3">
      <c r="A25" s="4" t="s">
        <v>225</v>
      </c>
      <c r="B25" s="4">
        <v>95</v>
      </c>
      <c r="C25" s="4">
        <v>1773950</v>
      </c>
      <c r="D25" s="16" t="str">
        <f t="shared" si="0"/>
        <v>High Value Order</v>
      </c>
    </row>
    <row r="26" spans="1:4" x14ac:dyDescent="0.3">
      <c r="A26" s="4" t="s">
        <v>226</v>
      </c>
      <c r="B26" s="4">
        <v>87</v>
      </c>
      <c r="C26" s="4">
        <v>1283822</v>
      </c>
      <c r="D26" s="16" t="str">
        <f t="shared" si="0"/>
        <v>High Value Order</v>
      </c>
    </row>
    <row r="27" spans="1:4" x14ac:dyDescent="0.3">
      <c r="A27" s="4" t="s">
        <v>227</v>
      </c>
      <c r="B27" s="4">
        <v>21</v>
      </c>
      <c r="C27" s="4">
        <v>1464261</v>
      </c>
      <c r="D27" s="16" t="str">
        <f t="shared" si="0"/>
        <v>High Value Order</v>
      </c>
    </row>
    <row r="28" spans="1:4" x14ac:dyDescent="0.3">
      <c r="A28" s="4" t="s">
        <v>228</v>
      </c>
      <c r="B28" s="4">
        <v>13</v>
      </c>
      <c r="C28" s="4">
        <v>1251390</v>
      </c>
      <c r="D28" s="16" t="str">
        <f t="shared" si="0"/>
        <v>High Value Order</v>
      </c>
    </row>
    <row r="29" spans="1:4" x14ac:dyDescent="0.3">
      <c r="A29" s="4" t="s">
        <v>229</v>
      </c>
      <c r="B29" s="4">
        <v>14</v>
      </c>
      <c r="C29" s="4">
        <v>1675960</v>
      </c>
      <c r="D29" s="16" t="str">
        <f t="shared" si="0"/>
        <v>High Value Order</v>
      </c>
    </row>
    <row r="30" spans="1:4" x14ac:dyDescent="0.3">
      <c r="A30" s="4" t="s">
        <v>230</v>
      </c>
      <c r="B30" s="4">
        <v>41</v>
      </c>
      <c r="C30" s="4">
        <v>112790</v>
      </c>
      <c r="D30" s="16" t="str">
        <f t="shared" si="0"/>
        <v>Normal Order</v>
      </c>
    </row>
    <row r="31" spans="1:4" x14ac:dyDescent="0.3">
      <c r="A31" s="4" t="s">
        <v>231</v>
      </c>
      <c r="B31" s="4">
        <v>16</v>
      </c>
      <c r="C31" s="4">
        <v>1345941</v>
      </c>
      <c r="D31" s="16" t="str">
        <f t="shared" si="0"/>
        <v>High Value Order</v>
      </c>
    </row>
    <row r="32" spans="1:4" x14ac:dyDescent="0.3">
      <c r="A32" s="4" t="s">
        <v>232</v>
      </c>
      <c r="B32" s="4">
        <v>40</v>
      </c>
      <c r="C32" s="4">
        <v>1619735</v>
      </c>
      <c r="D32" s="16" t="str">
        <f t="shared" si="0"/>
        <v>High Value Order</v>
      </c>
    </row>
    <row r="33" spans="1:4" x14ac:dyDescent="0.3">
      <c r="A33" s="4" t="s">
        <v>233</v>
      </c>
      <c r="B33" s="4">
        <v>11</v>
      </c>
      <c r="C33" s="4">
        <v>1586759</v>
      </c>
      <c r="D33" s="16" t="str">
        <f t="shared" si="0"/>
        <v>High Value Order</v>
      </c>
    </row>
    <row r="34" spans="1:4" x14ac:dyDescent="0.3">
      <c r="A34" s="4" t="s">
        <v>234</v>
      </c>
      <c r="B34" s="4">
        <v>76</v>
      </c>
      <c r="C34" s="4">
        <v>113891</v>
      </c>
      <c r="D34" s="16" t="str">
        <f t="shared" si="0"/>
        <v>High Value Order</v>
      </c>
    </row>
    <row r="35" spans="1:4" x14ac:dyDescent="0.3">
      <c r="A35" s="4" t="s">
        <v>235</v>
      </c>
      <c r="B35" s="4">
        <v>60</v>
      </c>
      <c r="C35" s="4">
        <v>1854360</v>
      </c>
      <c r="D35" s="16" t="str">
        <f t="shared" si="0"/>
        <v>High Value Order</v>
      </c>
    </row>
    <row r="36" spans="1:4" x14ac:dyDescent="0.3">
      <c r="A36" s="4" t="s">
        <v>236</v>
      </c>
      <c r="B36" s="4">
        <v>75</v>
      </c>
      <c r="C36" s="4">
        <v>730214</v>
      </c>
      <c r="D36" s="16" t="str">
        <f t="shared" si="0"/>
        <v>High Value Order</v>
      </c>
    </row>
    <row r="37" spans="1:4" x14ac:dyDescent="0.3">
      <c r="A37" s="4" t="s">
        <v>237</v>
      </c>
      <c r="B37" s="4">
        <v>55</v>
      </c>
      <c r="C37" s="4">
        <v>198138</v>
      </c>
      <c r="D37" s="16" t="str">
        <f t="shared" si="0"/>
        <v>High Value Order</v>
      </c>
    </row>
    <row r="38" spans="1:4" x14ac:dyDescent="0.3">
      <c r="A38" s="4" t="s">
        <v>238</v>
      </c>
      <c r="B38" s="4">
        <v>70</v>
      </c>
      <c r="C38" s="4">
        <v>1056665</v>
      </c>
      <c r="D38" s="16" t="str">
        <f t="shared" si="0"/>
        <v>High Value Order</v>
      </c>
    </row>
    <row r="39" spans="1:4" x14ac:dyDescent="0.3">
      <c r="A39" s="4" t="s">
        <v>239</v>
      </c>
      <c r="B39" s="4">
        <v>43</v>
      </c>
      <c r="C39" s="4">
        <v>728761</v>
      </c>
      <c r="D39" s="16" t="str">
        <f t="shared" si="0"/>
        <v>Normal Order</v>
      </c>
    </row>
    <row r="40" spans="1:4" x14ac:dyDescent="0.3">
      <c r="A40" s="4" t="s">
        <v>240</v>
      </c>
      <c r="B40" s="4">
        <v>8</v>
      </c>
      <c r="C40" s="4">
        <v>1421166</v>
      </c>
      <c r="D40" s="16" t="str">
        <f t="shared" si="0"/>
        <v>High Value Order</v>
      </c>
    </row>
    <row r="41" spans="1:4" x14ac:dyDescent="0.3">
      <c r="A41" s="4" t="s">
        <v>241</v>
      </c>
      <c r="B41" s="4">
        <v>78</v>
      </c>
      <c r="C41" s="4">
        <v>170940</v>
      </c>
      <c r="D41" s="16" t="str">
        <f t="shared" si="0"/>
        <v>High Value Order</v>
      </c>
    </row>
    <row r="42" spans="1:4" x14ac:dyDescent="0.3">
      <c r="A42" s="4" t="s">
        <v>242</v>
      </c>
      <c r="B42" s="4">
        <v>35</v>
      </c>
      <c r="C42" s="4">
        <v>1299812</v>
      </c>
      <c r="D42" s="16" t="str">
        <f t="shared" si="0"/>
        <v>High Value Order</v>
      </c>
    </row>
    <row r="43" spans="1:4" x14ac:dyDescent="0.3">
      <c r="A43" s="4" t="s">
        <v>243</v>
      </c>
      <c r="B43" s="4">
        <v>83</v>
      </c>
      <c r="C43" s="4">
        <v>126572</v>
      </c>
      <c r="D43" s="16" t="str">
        <f t="shared" si="0"/>
        <v>High Value Order</v>
      </c>
    </row>
    <row r="44" spans="1:4" x14ac:dyDescent="0.3">
      <c r="A44" s="4" t="s">
        <v>244</v>
      </c>
      <c r="B44" s="4">
        <v>19</v>
      </c>
      <c r="C44" s="4">
        <v>1016484</v>
      </c>
      <c r="D44" s="16" t="str">
        <f t="shared" si="0"/>
        <v>High Value Order</v>
      </c>
    </row>
    <row r="45" spans="1:4" x14ac:dyDescent="0.3">
      <c r="A45" s="4" t="s">
        <v>245</v>
      </c>
      <c r="B45" s="4">
        <v>71</v>
      </c>
      <c r="C45" s="4">
        <v>1023431</v>
      </c>
      <c r="D45" s="16" t="str">
        <f t="shared" si="0"/>
        <v>High Value Order</v>
      </c>
    </row>
    <row r="46" spans="1:4" x14ac:dyDescent="0.3">
      <c r="A46" s="4" t="s">
        <v>246</v>
      </c>
      <c r="B46" s="4">
        <v>25</v>
      </c>
      <c r="C46" s="4">
        <v>320566</v>
      </c>
      <c r="D46" s="16" t="str">
        <f t="shared" si="0"/>
        <v>Normal Order</v>
      </c>
    </row>
    <row r="47" spans="1:4" x14ac:dyDescent="0.3">
      <c r="A47" s="4" t="s">
        <v>247</v>
      </c>
      <c r="B47" s="4">
        <v>22</v>
      </c>
      <c r="C47" s="4">
        <v>1137737</v>
      </c>
      <c r="D47" s="16" t="str">
        <f t="shared" si="0"/>
        <v>High Value Order</v>
      </c>
    </row>
    <row r="48" spans="1:4" x14ac:dyDescent="0.3">
      <c r="A48" s="4" t="s">
        <v>248</v>
      </c>
      <c r="B48" s="4">
        <v>5</v>
      </c>
      <c r="C48" s="4">
        <v>952792</v>
      </c>
      <c r="D48" s="16" t="str">
        <f t="shared" si="0"/>
        <v>Normal Order</v>
      </c>
    </row>
    <row r="49" spans="1:4" x14ac:dyDescent="0.3">
      <c r="A49" s="4" t="s">
        <v>249</v>
      </c>
      <c r="B49" s="4">
        <v>82</v>
      </c>
      <c r="C49" s="4">
        <v>223309</v>
      </c>
      <c r="D49" s="16" t="str">
        <f t="shared" si="0"/>
        <v>High Value Order</v>
      </c>
    </row>
    <row r="50" spans="1:4" x14ac:dyDescent="0.3">
      <c r="A50" s="4" t="s">
        <v>250</v>
      </c>
      <c r="B50" s="4">
        <v>87</v>
      </c>
      <c r="C50" s="4">
        <v>1757591</v>
      </c>
      <c r="D50" s="16" t="str">
        <f t="shared" si="0"/>
        <v>High Value Order</v>
      </c>
    </row>
    <row r="51" spans="1:4" x14ac:dyDescent="0.3">
      <c r="A51" s="4" t="s">
        <v>251</v>
      </c>
      <c r="B51" s="4">
        <v>79</v>
      </c>
      <c r="C51" s="4">
        <v>114030</v>
      </c>
      <c r="D51" s="16" t="str">
        <f t="shared" si="0"/>
        <v>High Value Order</v>
      </c>
    </row>
    <row r="52" spans="1:4" x14ac:dyDescent="0.3">
      <c r="A52" s="4" t="s">
        <v>252</v>
      </c>
      <c r="B52" s="4">
        <v>78</v>
      </c>
      <c r="C52" s="4">
        <v>386374</v>
      </c>
      <c r="D52" s="16" t="str">
        <f t="shared" si="0"/>
        <v>High Value Order</v>
      </c>
    </row>
    <row r="53" spans="1:4" x14ac:dyDescent="0.3">
      <c r="A53" s="4" t="s">
        <v>253</v>
      </c>
      <c r="B53" s="4">
        <v>12</v>
      </c>
      <c r="C53" s="4">
        <v>1161613</v>
      </c>
      <c r="D53" s="16" t="str">
        <f t="shared" si="0"/>
        <v>High Value Order</v>
      </c>
    </row>
    <row r="54" spans="1:4" x14ac:dyDescent="0.3">
      <c r="A54" s="4" t="s">
        <v>254</v>
      </c>
      <c r="B54" s="4">
        <v>95</v>
      </c>
      <c r="C54" s="4">
        <v>124521</v>
      </c>
      <c r="D54" s="16" t="str">
        <f t="shared" si="0"/>
        <v>High Value Order</v>
      </c>
    </row>
    <row r="55" spans="1:4" x14ac:dyDescent="0.3">
      <c r="A55" s="4" t="s">
        <v>255</v>
      </c>
      <c r="B55" s="4">
        <v>69</v>
      </c>
      <c r="C55" s="4">
        <v>1152208</v>
      </c>
      <c r="D55" s="16" t="str">
        <f t="shared" si="0"/>
        <v>High Value Order</v>
      </c>
    </row>
    <row r="56" spans="1:4" x14ac:dyDescent="0.3">
      <c r="A56" s="4" t="s">
        <v>256</v>
      </c>
      <c r="B56" s="4">
        <v>28</v>
      </c>
      <c r="C56" s="4">
        <v>410969</v>
      </c>
      <c r="D56" s="16" t="str">
        <f t="shared" si="0"/>
        <v>Normal Order</v>
      </c>
    </row>
    <row r="57" spans="1:4" x14ac:dyDescent="0.3">
      <c r="A57" s="4" t="s">
        <v>257</v>
      </c>
      <c r="B57" s="4">
        <v>100</v>
      </c>
      <c r="C57" s="4">
        <v>1586610</v>
      </c>
      <c r="D57" s="16" t="str">
        <f t="shared" si="0"/>
        <v>High Value Order</v>
      </c>
    </row>
    <row r="58" spans="1:4" x14ac:dyDescent="0.3">
      <c r="A58" s="4" t="s">
        <v>258</v>
      </c>
      <c r="B58" s="4">
        <v>55</v>
      </c>
      <c r="C58" s="4">
        <v>666950</v>
      </c>
      <c r="D58" s="16" t="str">
        <f t="shared" si="0"/>
        <v>High Value Order</v>
      </c>
    </row>
    <row r="59" spans="1:4" x14ac:dyDescent="0.3">
      <c r="A59" s="4" t="s">
        <v>259</v>
      </c>
      <c r="B59" s="4">
        <v>5</v>
      </c>
      <c r="C59" s="4">
        <v>1714635</v>
      </c>
      <c r="D59" s="16" t="str">
        <f t="shared" si="0"/>
        <v>High Value Order</v>
      </c>
    </row>
    <row r="60" spans="1:4" x14ac:dyDescent="0.3">
      <c r="A60" s="4" t="s">
        <v>260</v>
      </c>
      <c r="B60" s="4">
        <v>41</v>
      </c>
      <c r="C60" s="4">
        <v>647960</v>
      </c>
      <c r="D60" s="16" t="str">
        <f t="shared" si="0"/>
        <v>Normal Order</v>
      </c>
    </row>
    <row r="61" spans="1:4" x14ac:dyDescent="0.3">
      <c r="A61" s="4" t="s">
        <v>261</v>
      </c>
      <c r="B61" s="4">
        <v>56</v>
      </c>
      <c r="C61" s="4">
        <v>1461000</v>
      </c>
      <c r="D61" s="16" t="str">
        <f t="shared" si="0"/>
        <v>High Value Order</v>
      </c>
    </row>
    <row r="62" spans="1:4" x14ac:dyDescent="0.3">
      <c r="A62" s="4" t="s">
        <v>262</v>
      </c>
      <c r="B62" s="4">
        <v>22</v>
      </c>
      <c r="C62" s="4">
        <v>1143102</v>
      </c>
      <c r="D62" s="16" t="str">
        <f t="shared" si="0"/>
        <v>High Value Order</v>
      </c>
    </row>
    <row r="63" spans="1:4" x14ac:dyDescent="0.3">
      <c r="A63" s="4" t="s">
        <v>263</v>
      </c>
      <c r="B63" s="4">
        <v>74</v>
      </c>
      <c r="C63" s="4">
        <v>1689794</v>
      </c>
      <c r="D63" s="16" t="str">
        <f t="shared" si="0"/>
        <v>High Value Order</v>
      </c>
    </row>
    <row r="64" spans="1:4" x14ac:dyDescent="0.3">
      <c r="A64" s="4" t="s">
        <v>264</v>
      </c>
      <c r="B64" s="4">
        <v>72</v>
      </c>
      <c r="C64" s="4">
        <v>1758158</v>
      </c>
      <c r="D64" s="16" t="str">
        <f t="shared" si="0"/>
        <v>High Value Order</v>
      </c>
    </row>
    <row r="65" spans="1:4" x14ac:dyDescent="0.3">
      <c r="A65" s="4" t="s">
        <v>265</v>
      </c>
      <c r="B65" s="4">
        <v>57</v>
      </c>
      <c r="C65" s="4">
        <v>195019</v>
      </c>
      <c r="D65" s="16" t="str">
        <f t="shared" si="0"/>
        <v>High Value Order</v>
      </c>
    </row>
    <row r="66" spans="1:4" x14ac:dyDescent="0.3">
      <c r="A66" s="4" t="s">
        <v>266</v>
      </c>
      <c r="B66" s="4">
        <v>88</v>
      </c>
      <c r="C66" s="4">
        <v>1253861</v>
      </c>
      <c r="D66" s="16" t="str">
        <f t="shared" si="0"/>
        <v>High Value Order</v>
      </c>
    </row>
    <row r="67" spans="1:4" x14ac:dyDescent="0.3">
      <c r="A67" s="4" t="s">
        <v>267</v>
      </c>
      <c r="B67" s="4">
        <v>61</v>
      </c>
      <c r="C67" s="4">
        <v>177754</v>
      </c>
      <c r="D67" s="16" t="str">
        <f t="shared" si="0"/>
        <v>High Value Order</v>
      </c>
    </row>
    <row r="68" spans="1:4" x14ac:dyDescent="0.3">
      <c r="A68" s="4" t="s">
        <v>268</v>
      </c>
      <c r="B68" s="4">
        <v>71</v>
      </c>
      <c r="C68" s="4">
        <v>360350</v>
      </c>
      <c r="D68" s="16" t="str">
        <f t="shared" ref="D68:D131" si="1">IF(OR(B68&gt;50,C68&gt;1000000),"High Value Order","Normal Order")</f>
        <v>High Value Order</v>
      </c>
    </row>
    <row r="69" spans="1:4" x14ac:dyDescent="0.3">
      <c r="A69" s="4" t="s">
        <v>269</v>
      </c>
      <c r="B69" s="4">
        <v>59</v>
      </c>
      <c r="C69" s="4">
        <v>1626978</v>
      </c>
      <c r="D69" s="16" t="str">
        <f t="shared" si="1"/>
        <v>High Value Order</v>
      </c>
    </row>
    <row r="70" spans="1:4" x14ac:dyDescent="0.3">
      <c r="A70" s="4" t="s">
        <v>270</v>
      </c>
      <c r="B70" s="4">
        <v>99</v>
      </c>
      <c r="C70" s="4">
        <v>1080669</v>
      </c>
      <c r="D70" s="16" t="str">
        <f t="shared" si="1"/>
        <v>High Value Order</v>
      </c>
    </row>
    <row r="71" spans="1:4" x14ac:dyDescent="0.3">
      <c r="A71" s="4" t="s">
        <v>271</v>
      </c>
      <c r="B71" s="4">
        <v>18</v>
      </c>
      <c r="C71" s="4">
        <v>1408410</v>
      </c>
      <c r="D71" s="16" t="str">
        <f t="shared" si="1"/>
        <v>High Value Order</v>
      </c>
    </row>
    <row r="72" spans="1:4" x14ac:dyDescent="0.3">
      <c r="A72" s="4" t="s">
        <v>272</v>
      </c>
      <c r="B72" s="4">
        <v>42</v>
      </c>
      <c r="C72" s="4">
        <v>1295672</v>
      </c>
      <c r="D72" s="16" t="str">
        <f t="shared" si="1"/>
        <v>High Value Order</v>
      </c>
    </row>
    <row r="73" spans="1:4" x14ac:dyDescent="0.3">
      <c r="A73" s="4" t="s">
        <v>273</v>
      </c>
      <c r="B73" s="4">
        <v>42</v>
      </c>
      <c r="C73" s="4">
        <v>1195076</v>
      </c>
      <c r="D73" s="16" t="str">
        <f t="shared" si="1"/>
        <v>High Value Order</v>
      </c>
    </row>
    <row r="74" spans="1:4" x14ac:dyDescent="0.3">
      <c r="A74" s="4" t="s">
        <v>274</v>
      </c>
      <c r="B74" s="4">
        <v>6</v>
      </c>
      <c r="C74" s="4">
        <v>1289091</v>
      </c>
      <c r="D74" s="16" t="str">
        <f t="shared" si="1"/>
        <v>High Value Order</v>
      </c>
    </row>
    <row r="75" spans="1:4" x14ac:dyDescent="0.3">
      <c r="A75" s="4" t="s">
        <v>275</v>
      </c>
      <c r="B75" s="4">
        <v>45</v>
      </c>
      <c r="C75" s="4">
        <v>1384059</v>
      </c>
      <c r="D75" s="16" t="str">
        <f t="shared" si="1"/>
        <v>High Value Order</v>
      </c>
    </row>
    <row r="76" spans="1:4" x14ac:dyDescent="0.3">
      <c r="A76" s="4" t="s">
        <v>276</v>
      </c>
      <c r="B76" s="4">
        <v>17</v>
      </c>
      <c r="C76" s="4">
        <v>254022</v>
      </c>
      <c r="D76" s="16" t="str">
        <f t="shared" si="1"/>
        <v>Normal Order</v>
      </c>
    </row>
    <row r="77" spans="1:4" x14ac:dyDescent="0.3">
      <c r="A77" s="4" t="s">
        <v>277</v>
      </c>
      <c r="B77" s="4">
        <v>37</v>
      </c>
      <c r="C77" s="4">
        <v>1845941</v>
      </c>
      <c r="D77" s="16" t="str">
        <f t="shared" si="1"/>
        <v>High Value Order</v>
      </c>
    </row>
    <row r="78" spans="1:4" x14ac:dyDescent="0.3">
      <c r="A78" s="4" t="s">
        <v>278</v>
      </c>
      <c r="B78" s="4">
        <v>26</v>
      </c>
      <c r="C78" s="4">
        <v>894963</v>
      </c>
      <c r="D78" s="16" t="str">
        <f t="shared" si="1"/>
        <v>Normal Order</v>
      </c>
    </row>
    <row r="79" spans="1:4" x14ac:dyDescent="0.3">
      <c r="A79" s="4" t="s">
        <v>279</v>
      </c>
      <c r="B79" s="4">
        <v>41</v>
      </c>
      <c r="C79" s="4">
        <v>1521670</v>
      </c>
      <c r="D79" s="16" t="str">
        <f t="shared" si="1"/>
        <v>High Value Order</v>
      </c>
    </row>
    <row r="80" spans="1:4" x14ac:dyDescent="0.3">
      <c r="A80" s="4" t="s">
        <v>280</v>
      </c>
      <c r="B80" s="4">
        <v>96</v>
      </c>
      <c r="C80" s="4">
        <v>752829</v>
      </c>
      <c r="D80" s="16" t="str">
        <f t="shared" si="1"/>
        <v>High Value Order</v>
      </c>
    </row>
    <row r="81" spans="1:4" x14ac:dyDescent="0.3">
      <c r="A81" s="4" t="s">
        <v>281</v>
      </c>
      <c r="B81" s="4">
        <v>39</v>
      </c>
      <c r="C81" s="4">
        <v>368471</v>
      </c>
      <c r="D81" s="16" t="str">
        <f t="shared" si="1"/>
        <v>Normal Order</v>
      </c>
    </row>
    <row r="82" spans="1:4" x14ac:dyDescent="0.3">
      <c r="A82" s="4" t="s">
        <v>282</v>
      </c>
      <c r="B82" s="4">
        <v>21</v>
      </c>
      <c r="C82" s="4">
        <v>1969198</v>
      </c>
      <c r="D82" s="16" t="str">
        <f t="shared" si="1"/>
        <v>High Value Order</v>
      </c>
    </row>
    <row r="83" spans="1:4" x14ac:dyDescent="0.3">
      <c r="A83" s="4" t="s">
        <v>283</v>
      </c>
      <c r="B83" s="4">
        <v>2</v>
      </c>
      <c r="C83" s="4">
        <v>1900489</v>
      </c>
      <c r="D83" s="16" t="str">
        <f t="shared" si="1"/>
        <v>High Value Order</v>
      </c>
    </row>
    <row r="84" spans="1:4" x14ac:dyDescent="0.3">
      <c r="A84" s="4" t="s">
        <v>284</v>
      </c>
      <c r="B84" s="4">
        <v>48</v>
      </c>
      <c r="C84" s="4">
        <v>285891</v>
      </c>
      <c r="D84" s="16" t="str">
        <f t="shared" si="1"/>
        <v>Normal Order</v>
      </c>
    </row>
    <row r="85" spans="1:4" x14ac:dyDescent="0.3">
      <c r="A85" s="4" t="s">
        <v>285</v>
      </c>
      <c r="B85" s="4">
        <v>84</v>
      </c>
      <c r="C85" s="4">
        <v>1251969</v>
      </c>
      <c r="D85" s="16" t="str">
        <f t="shared" si="1"/>
        <v>High Value Order</v>
      </c>
    </row>
    <row r="86" spans="1:4" x14ac:dyDescent="0.3">
      <c r="A86" s="4" t="s">
        <v>286</v>
      </c>
      <c r="B86" s="4">
        <v>5</v>
      </c>
      <c r="C86" s="4">
        <v>551697</v>
      </c>
      <c r="D86" s="16" t="str">
        <f t="shared" si="1"/>
        <v>Normal Order</v>
      </c>
    </row>
    <row r="87" spans="1:4" x14ac:dyDescent="0.3">
      <c r="A87" s="4" t="s">
        <v>287</v>
      </c>
      <c r="B87" s="4">
        <v>40</v>
      </c>
      <c r="C87" s="4">
        <v>752785</v>
      </c>
      <c r="D87" s="16" t="str">
        <f t="shared" si="1"/>
        <v>Normal Order</v>
      </c>
    </row>
    <row r="88" spans="1:4" x14ac:dyDescent="0.3">
      <c r="A88" s="4" t="s">
        <v>288</v>
      </c>
      <c r="B88" s="4">
        <v>25</v>
      </c>
      <c r="C88" s="4">
        <v>491003</v>
      </c>
      <c r="D88" s="16" t="str">
        <f t="shared" si="1"/>
        <v>Normal Order</v>
      </c>
    </row>
    <row r="89" spans="1:4" x14ac:dyDescent="0.3">
      <c r="A89" s="4" t="s">
        <v>289</v>
      </c>
      <c r="B89" s="4">
        <v>75</v>
      </c>
      <c r="C89" s="4">
        <v>1769251</v>
      </c>
      <c r="D89" s="16" t="str">
        <f t="shared" si="1"/>
        <v>High Value Order</v>
      </c>
    </row>
    <row r="90" spans="1:4" x14ac:dyDescent="0.3">
      <c r="A90" s="4" t="s">
        <v>290</v>
      </c>
      <c r="B90" s="4">
        <v>44</v>
      </c>
      <c r="C90" s="4">
        <v>1182403</v>
      </c>
      <c r="D90" s="16" t="str">
        <f t="shared" si="1"/>
        <v>High Value Order</v>
      </c>
    </row>
    <row r="91" spans="1:4" x14ac:dyDescent="0.3">
      <c r="A91" s="4" t="s">
        <v>291</v>
      </c>
      <c r="B91" s="4">
        <v>70</v>
      </c>
      <c r="C91" s="4">
        <v>1817032</v>
      </c>
      <c r="D91" s="16" t="str">
        <f t="shared" si="1"/>
        <v>High Value Order</v>
      </c>
    </row>
    <row r="92" spans="1:4" x14ac:dyDescent="0.3">
      <c r="A92" s="4" t="s">
        <v>292</v>
      </c>
      <c r="B92" s="4">
        <v>92</v>
      </c>
      <c r="C92" s="4">
        <v>989366</v>
      </c>
      <c r="D92" s="16" t="str">
        <f t="shared" si="1"/>
        <v>High Value Order</v>
      </c>
    </row>
    <row r="93" spans="1:4" x14ac:dyDescent="0.3">
      <c r="A93" s="4" t="s">
        <v>293</v>
      </c>
      <c r="B93" s="4">
        <v>92</v>
      </c>
      <c r="C93" s="4">
        <v>869809</v>
      </c>
      <c r="D93" s="16" t="str">
        <f t="shared" si="1"/>
        <v>High Value Order</v>
      </c>
    </row>
    <row r="94" spans="1:4" x14ac:dyDescent="0.3">
      <c r="A94" s="4" t="s">
        <v>294</v>
      </c>
      <c r="B94" s="4">
        <v>31</v>
      </c>
      <c r="C94" s="4">
        <v>526789</v>
      </c>
      <c r="D94" s="16" t="str">
        <f t="shared" si="1"/>
        <v>Normal Order</v>
      </c>
    </row>
    <row r="95" spans="1:4" x14ac:dyDescent="0.3">
      <c r="A95" s="4" t="s">
        <v>295</v>
      </c>
      <c r="B95" s="4">
        <v>7</v>
      </c>
      <c r="C95" s="4">
        <v>1086149</v>
      </c>
      <c r="D95" s="16" t="str">
        <f t="shared" si="1"/>
        <v>High Value Order</v>
      </c>
    </row>
    <row r="96" spans="1:4" x14ac:dyDescent="0.3">
      <c r="A96" s="4" t="s">
        <v>296</v>
      </c>
      <c r="B96" s="4">
        <v>37</v>
      </c>
      <c r="C96" s="4">
        <v>1960703</v>
      </c>
      <c r="D96" s="16" t="str">
        <f t="shared" si="1"/>
        <v>High Value Order</v>
      </c>
    </row>
    <row r="97" spans="1:4" x14ac:dyDescent="0.3">
      <c r="A97" s="4" t="s">
        <v>297</v>
      </c>
      <c r="B97" s="4">
        <v>13</v>
      </c>
      <c r="C97" s="4">
        <v>425753</v>
      </c>
      <c r="D97" s="16" t="str">
        <f t="shared" si="1"/>
        <v>Normal Order</v>
      </c>
    </row>
    <row r="98" spans="1:4" x14ac:dyDescent="0.3">
      <c r="A98" s="4" t="s">
        <v>298</v>
      </c>
      <c r="B98" s="4">
        <v>52</v>
      </c>
      <c r="C98" s="4">
        <v>172262</v>
      </c>
      <c r="D98" s="16" t="str">
        <f t="shared" si="1"/>
        <v>High Value Order</v>
      </c>
    </row>
    <row r="99" spans="1:4" x14ac:dyDescent="0.3">
      <c r="A99" s="4" t="s">
        <v>299</v>
      </c>
      <c r="B99" s="4">
        <v>47</v>
      </c>
      <c r="C99" s="4">
        <v>409812</v>
      </c>
      <c r="D99" s="16" t="str">
        <f t="shared" si="1"/>
        <v>Normal Order</v>
      </c>
    </row>
    <row r="100" spans="1:4" x14ac:dyDescent="0.3">
      <c r="A100" s="4" t="s">
        <v>300</v>
      </c>
      <c r="B100" s="4">
        <v>27</v>
      </c>
      <c r="C100" s="4">
        <v>1485825</v>
      </c>
      <c r="D100" s="16" t="str">
        <f t="shared" si="1"/>
        <v>High Value Order</v>
      </c>
    </row>
    <row r="101" spans="1:4" x14ac:dyDescent="0.3">
      <c r="A101" s="4" t="s">
        <v>301</v>
      </c>
      <c r="B101" s="4">
        <v>85</v>
      </c>
      <c r="C101" s="4">
        <v>421235</v>
      </c>
      <c r="D101" s="16" t="str">
        <f t="shared" si="1"/>
        <v>High Value Order</v>
      </c>
    </row>
    <row r="102" spans="1:4" x14ac:dyDescent="0.3">
      <c r="A102" s="4" t="s">
        <v>302</v>
      </c>
      <c r="B102" s="4">
        <v>46</v>
      </c>
      <c r="C102" s="4">
        <v>1359964</v>
      </c>
      <c r="D102" s="16" t="str">
        <f t="shared" si="1"/>
        <v>High Value Order</v>
      </c>
    </row>
    <row r="103" spans="1:4" x14ac:dyDescent="0.3">
      <c r="A103" s="4" t="s">
        <v>303</v>
      </c>
      <c r="B103" s="4">
        <v>78</v>
      </c>
      <c r="C103" s="4">
        <v>1095139</v>
      </c>
      <c r="D103" s="16" t="str">
        <f t="shared" si="1"/>
        <v>High Value Order</v>
      </c>
    </row>
    <row r="104" spans="1:4" x14ac:dyDescent="0.3">
      <c r="A104" s="4" t="s">
        <v>304</v>
      </c>
      <c r="B104" s="4">
        <v>50</v>
      </c>
      <c r="C104" s="4">
        <v>920604</v>
      </c>
      <c r="D104" s="16" t="str">
        <f t="shared" si="1"/>
        <v>Normal Order</v>
      </c>
    </row>
    <row r="105" spans="1:4" x14ac:dyDescent="0.3">
      <c r="A105" s="4" t="s">
        <v>305</v>
      </c>
      <c r="B105" s="4">
        <v>13</v>
      </c>
      <c r="C105" s="4">
        <v>276284</v>
      </c>
      <c r="D105" s="16" t="str">
        <f t="shared" si="1"/>
        <v>Normal Order</v>
      </c>
    </row>
    <row r="106" spans="1:4" x14ac:dyDescent="0.3">
      <c r="A106" s="4" t="s">
        <v>306</v>
      </c>
      <c r="B106" s="4">
        <v>65</v>
      </c>
      <c r="C106" s="4">
        <v>512916</v>
      </c>
      <c r="D106" s="16" t="str">
        <f t="shared" si="1"/>
        <v>High Value Order</v>
      </c>
    </row>
    <row r="107" spans="1:4" x14ac:dyDescent="0.3">
      <c r="A107" s="4" t="s">
        <v>307</v>
      </c>
      <c r="B107" s="4">
        <v>1</v>
      </c>
      <c r="C107" s="4">
        <v>1556741</v>
      </c>
      <c r="D107" s="16" t="str">
        <f t="shared" si="1"/>
        <v>High Value Order</v>
      </c>
    </row>
    <row r="108" spans="1:4" x14ac:dyDescent="0.3">
      <c r="A108" s="4" t="s">
        <v>308</v>
      </c>
      <c r="B108" s="4">
        <v>30</v>
      </c>
      <c r="C108" s="4">
        <v>1937855</v>
      </c>
      <c r="D108" s="16" t="str">
        <f t="shared" si="1"/>
        <v>High Value Order</v>
      </c>
    </row>
    <row r="109" spans="1:4" x14ac:dyDescent="0.3">
      <c r="A109" s="4" t="s">
        <v>309</v>
      </c>
      <c r="B109" s="4">
        <v>99</v>
      </c>
      <c r="C109" s="4">
        <v>175694</v>
      </c>
      <c r="D109" s="16" t="str">
        <f t="shared" si="1"/>
        <v>High Value Order</v>
      </c>
    </row>
    <row r="110" spans="1:4" x14ac:dyDescent="0.3">
      <c r="A110" s="4" t="s">
        <v>310</v>
      </c>
      <c r="B110" s="4">
        <v>17</v>
      </c>
      <c r="C110" s="4">
        <v>428993</v>
      </c>
      <c r="D110" s="16" t="str">
        <f t="shared" si="1"/>
        <v>Normal Order</v>
      </c>
    </row>
    <row r="111" spans="1:4" x14ac:dyDescent="0.3">
      <c r="A111" s="4" t="s">
        <v>311</v>
      </c>
      <c r="B111" s="4">
        <v>38</v>
      </c>
      <c r="C111" s="4">
        <v>580658</v>
      </c>
      <c r="D111" s="16" t="str">
        <f t="shared" si="1"/>
        <v>Normal Order</v>
      </c>
    </row>
    <row r="112" spans="1:4" x14ac:dyDescent="0.3">
      <c r="A112" s="4" t="s">
        <v>312</v>
      </c>
      <c r="B112" s="4">
        <v>9</v>
      </c>
      <c r="C112" s="4">
        <v>1171410</v>
      </c>
      <c r="D112" s="16" t="str">
        <f t="shared" si="1"/>
        <v>High Value Order</v>
      </c>
    </row>
    <row r="113" spans="1:4" x14ac:dyDescent="0.3">
      <c r="A113" s="4" t="s">
        <v>313</v>
      </c>
      <c r="B113" s="4">
        <v>55</v>
      </c>
      <c r="C113" s="4">
        <v>700131</v>
      </c>
      <c r="D113" s="16" t="str">
        <f t="shared" si="1"/>
        <v>High Value Order</v>
      </c>
    </row>
    <row r="114" spans="1:4" x14ac:dyDescent="0.3">
      <c r="A114" s="4" t="s">
        <v>314</v>
      </c>
      <c r="B114" s="4">
        <v>43</v>
      </c>
      <c r="C114" s="4">
        <v>437372</v>
      </c>
      <c r="D114" s="16" t="str">
        <f t="shared" si="1"/>
        <v>Normal Order</v>
      </c>
    </row>
    <row r="115" spans="1:4" x14ac:dyDescent="0.3">
      <c r="A115" s="4" t="s">
        <v>315</v>
      </c>
      <c r="B115" s="4">
        <v>63</v>
      </c>
      <c r="C115" s="4">
        <v>1953763</v>
      </c>
      <c r="D115" s="16" t="str">
        <f t="shared" si="1"/>
        <v>High Value Order</v>
      </c>
    </row>
    <row r="116" spans="1:4" x14ac:dyDescent="0.3">
      <c r="A116" s="4" t="s">
        <v>316</v>
      </c>
      <c r="B116" s="4">
        <v>19</v>
      </c>
      <c r="C116" s="4">
        <v>1984270</v>
      </c>
      <c r="D116" s="16" t="str">
        <f t="shared" si="1"/>
        <v>High Value Order</v>
      </c>
    </row>
    <row r="117" spans="1:4" x14ac:dyDescent="0.3">
      <c r="A117" s="4" t="s">
        <v>317</v>
      </c>
      <c r="B117" s="4">
        <v>65</v>
      </c>
      <c r="C117" s="4">
        <v>1334788</v>
      </c>
      <c r="D117" s="16" t="str">
        <f t="shared" si="1"/>
        <v>High Value Order</v>
      </c>
    </row>
    <row r="118" spans="1:4" x14ac:dyDescent="0.3">
      <c r="A118" s="4" t="s">
        <v>318</v>
      </c>
      <c r="B118" s="4">
        <v>62</v>
      </c>
      <c r="C118" s="4">
        <v>1834874</v>
      </c>
      <c r="D118" s="16" t="str">
        <f t="shared" si="1"/>
        <v>High Value Order</v>
      </c>
    </row>
    <row r="119" spans="1:4" x14ac:dyDescent="0.3">
      <c r="A119" s="4" t="s">
        <v>319</v>
      </c>
      <c r="B119" s="4">
        <v>18</v>
      </c>
      <c r="C119" s="4">
        <v>1819634</v>
      </c>
      <c r="D119" s="16" t="str">
        <f t="shared" si="1"/>
        <v>High Value Order</v>
      </c>
    </row>
    <row r="120" spans="1:4" x14ac:dyDescent="0.3">
      <c r="A120" s="4" t="s">
        <v>320</v>
      </c>
      <c r="B120" s="4">
        <v>71</v>
      </c>
      <c r="C120" s="4">
        <v>1993634</v>
      </c>
      <c r="D120" s="16" t="str">
        <f t="shared" si="1"/>
        <v>High Value Order</v>
      </c>
    </row>
    <row r="121" spans="1:4" x14ac:dyDescent="0.3">
      <c r="A121" s="4" t="s">
        <v>321</v>
      </c>
      <c r="B121" s="4">
        <v>22</v>
      </c>
      <c r="C121" s="4">
        <v>1866699</v>
      </c>
      <c r="D121" s="16" t="str">
        <f t="shared" si="1"/>
        <v>High Value Order</v>
      </c>
    </row>
    <row r="122" spans="1:4" x14ac:dyDescent="0.3">
      <c r="A122" s="4" t="s">
        <v>322</v>
      </c>
      <c r="B122" s="4">
        <v>29</v>
      </c>
      <c r="C122" s="4">
        <v>1731939</v>
      </c>
      <c r="D122" s="16" t="str">
        <f t="shared" si="1"/>
        <v>High Value Order</v>
      </c>
    </row>
    <row r="123" spans="1:4" x14ac:dyDescent="0.3">
      <c r="A123" s="4" t="s">
        <v>323</v>
      </c>
      <c r="B123" s="4">
        <v>69</v>
      </c>
      <c r="C123" s="4">
        <v>892915</v>
      </c>
      <c r="D123" s="16" t="str">
        <f t="shared" si="1"/>
        <v>High Value Order</v>
      </c>
    </row>
    <row r="124" spans="1:4" x14ac:dyDescent="0.3">
      <c r="A124" s="4" t="s">
        <v>324</v>
      </c>
      <c r="B124" s="4">
        <v>54</v>
      </c>
      <c r="C124" s="4">
        <v>467097</v>
      </c>
      <c r="D124" s="16" t="str">
        <f t="shared" si="1"/>
        <v>High Value Order</v>
      </c>
    </row>
    <row r="125" spans="1:4" x14ac:dyDescent="0.3">
      <c r="A125" s="4" t="s">
        <v>325</v>
      </c>
      <c r="B125" s="4">
        <v>11</v>
      </c>
      <c r="C125" s="4">
        <v>1449751</v>
      </c>
      <c r="D125" s="16" t="str">
        <f t="shared" si="1"/>
        <v>High Value Order</v>
      </c>
    </row>
    <row r="126" spans="1:4" x14ac:dyDescent="0.3">
      <c r="A126" s="4" t="s">
        <v>326</v>
      </c>
      <c r="B126" s="4">
        <v>11</v>
      </c>
      <c r="C126" s="4">
        <v>654089</v>
      </c>
      <c r="D126" s="16" t="str">
        <f t="shared" si="1"/>
        <v>Normal Order</v>
      </c>
    </row>
    <row r="127" spans="1:4" x14ac:dyDescent="0.3">
      <c r="A127" s="4" t="s">
        <v>327</v>
      </c>
      <c r="B127" s="4">
        <v>12</v>
      </c>
      <c r="C127" s="4">
        <v>1622058</v>
      </c>
      <c r="D127" s="16" t="str">
        <f t="shared" si="1"/>
        <v>High Value Order</v>
      </c>
    </row>
    <row r="128" spans="1:4" x14ac:dyDescent="0.3">
      <c r="A128" s="4" t="s">
        <v>328</v>
      </c>
      <c r="B128" s="4">
        <v>49</v>
      </c>
      <c r="C128" s="4">
        <v>889320</v>
      </c>
      <c r="D128" s="16" t="str">
        <f t="shared" si="1"/>
        <v>Normal Order</v>
      </c>
    </row>
    <row r="129" spans="1:4" x14ac:dyDescent="0.3">
      <c r="A129" s="4" t="s">
        <v>329</v>
      </c>
      <c r="B129" s="4">
        <v>14</v>
      </c>
      <c r="C129" s="4">
        <v>195485</v>
      </c>
      <c r="D129" s="16" t="str">
        <f t="shared" si="1"/>
        <v>Normal Order</v>
      </c>
    </row>
    <row r="130" spans="1:4" x14ac:dyDescent="0.3">
      <c r="A130" s="4" t="s">
        <v>330</v>
      </c>
      <c r="B130" s="4">
        <v>9</v>
      </c>
      <c r="C130" s="4">
        <v>1964634</v>
      </c>
      <c r="D130" s="16" t="str">
        <f t="shared" si="1"/>
        <v>High Value Order</v>
      </c>
    </row>
    <row r="131" spans="1:4" x14ac:dyDescent="0.3">
      <c r="A131" s="4" t="s">
        <v>331</v>
      </c>
      <c r="B131" s="4">
        <v>82</v>
      </c>
      <c r="C131" s="4">
        <v>374930</v>
      </c>
      <c r="D131" s="16" t="str">
        <f t="shared" si="1"/>
        <v>High Value Order</v>
      </c>
    </row>
    <row r="132" spans="1:4" x14ac:dyDescent="0.3">
      <c r="A132" s="4" t="s">
        <v>332</v>
      </c>
      <c r="B132" s="4">
        <v>43</v>
      </c>
      <c r="C132" s="4">
        <v>1438321</v>
      </c>
      <c r="D132" s="16" t="str">
        <f t="shared" ref="D132:D152" si="2">IF(OR(B132&gt;50,C132&gt;1000000),"High Value Order","Normal Order")</f>
        <v>High Value Order</v>
      </c>
    </row>
    <row r="133" spans="1:4" x14ac:dyDescent="0.3">
      <c r="A133" s="4" t="s">
        <v>333</v>
      </c>
      <c r="B133" s="4">
        <v>45</v>
      </c>
      <c r="C133" s="4">
        <v>1911658</v>
      </c>
      <c r="D133" s="16" t="str">
        <f t="shared" si="2"/>
        <v>High Value Order</v>
      </c>
    </row>
    <row r="134" spans="1:4" x14ac:dyDescent="0.3">
      <c r="A134" s="4" t="s">
        <v>334</v>
      </c>
      <c r="B134" s="4">
        <v>26</v>
      </c>
      <c r="C134" s="4">
        <v>1383769</v>
      </c>
      <c r="D134" s="16" t="str">
        <f t="shared" si="2"/>
        <v>High Value Order</v>
      </c>
    </row>
    <row r="135" spans="1:4" x14ac:dyDescent="0.3">
      <c r="A135" s="4" t="s">
        <v>335</v>
      </c>
      <c r="B135" s="4">
        <v>86</v>
      </c>
      <c r="C135" s="4">
        <v>194554</v>
      </c>
      <c r="D135" s="16" t="str">
        <f t="shared" si="2"/>
        <v>High Value Order</v>
      </c>
    </row>
    <row r="136" spans="1:4" x14ac:dyDescent="0.3">
      <c r="A136" s="4" t="s">
        <v>336</v>
      </c>
      <c r="B136" s="4">
        <v>14</v>
      </c>
      <c r="C136" s="4">
        <v>1443462</v>
      </c>
      <c r="D136" s="16" t="str">
        <f t="shared" si="2"/>
        <v>High Value Order</v>
      </c>
    </row>
    <row r="137" spans="1:4" x14ac:dyDescent="0.3">
      <c r="A137" s="4" t="s">
        <v>337</v>
      </c>
      <c r="B137" s="4">
        <v>52</v>
      </c>
      <c r="C137" s="4">
        <v>866016</v>
      </c>
      <c r="D137" s="16" t="str">
        <f t="shared" si="2"/>
        <v>High Value Order</v>
      </c>
    </row>
    <row r="138" spans="1:4" x14ac:dyDescent="0.3">
      <c r="A138" s="4" t="s">
        <v>338</v>
      </c>
      <c r="B138" s="4">
        <v>98</v>
      </c>
      <c r="C138" s="4">
        <v>114909</v>
      </c>
      <c r="D138" s="16" t="str">
        <f t="shared" si="2"/>
        <v>High Value Order</v>
      </c>
    </row>
    <row r="139" spans="1:4" x14ac:dyDescent="0.3">
      <c r="A139" s="4" t="s">
        <v>339</v>
      </c>
      <c r="B139" s="4">
        <v>35</v>
      </c>
      <c r="C139" s="4">
        <v>1261196</v>
      </c>
      <c r="D139" s="16" t="str">
        <f t="shared" si="2"/>
        <v>High Value Order</v>
      </c>
    </row>
    <row r="140" spans="1:4" x14ac:dyDescent="0.3">
      <c r="A140" s="4" t="s">
        <v>340</v>
      </c>
      <c r="B140" s="4">
        <v>13</v>
      </c>
      <c r="C140" s="4">
        <v>1990098</v>
      </c>
      <c r="D140" s="16" t="str">
        <f t="shared" si="2"/>
        <v>High Value Order</v>
      </c>
    </row>
    <row r="141" spans="1:4" x14ac:dyDescent="0.3">
      <c r="A141" s="4" t="s">
        <v>341</v>
      </c>
      <c r="B141" s="4">
        <v>40</v>
      </c>
      <c r="C141" s="4">
        <v>1971403</v>
      </c>
      <c r="D141" s="16" t="str">
        <f t="shared" si="2"/>
        <v>High Value Order</v>
      </c>
    </row>
    <row r="142" spans="1:4" x14ac:dyDescent="0.3">
      <c r="A142" s="4" t="s">
        <v>342</v>
      </c>
      <c r="B142" s="4">
        <v>98</v>
      </c>
      <c r="C142" s="4">
        <v>1333053</v>
      </c>
      <c r="D142" s="16" t="str">
        <f t="shared" si="2"/>
        <v>High Value Order</v>
      </c>
    </row>
    <row r="143" spans="1:4" x14ac:dyDescent="0.3">
      <c r="A143" s="4" t="s">
        <v>343</v>
      </c>
      <c r="B143" s="4">
        <v>92</v>
      </c>
      <c r="C143" s="4">
        <v>1183900</v>
      </c>
      <c r="D143" s="16" t="str">
        <f t="shared" si="2"/>
        <v>High Value Order</v>
      </c>
    </row>
    <row r="144" spans="1:4" x14ac:dyDescent="0.3">
      <c r="A144" s="4" t="s">
        <v>344</v>
      </c>
      <c r="B144" s="4">
        <v>27</v>
      </c>
      <c r="C144" s="4">
        <v>180791</v>
      </c>
      <c r="D144" s="16" t="str">
        <f t="shared" si="2"/>
        <v>Normal Order</v>
      </c>
    </row>
    <row r="145" spans="1:4" x14ac:dyDescent="0.3">
      <c r="A145" s="4" t="s">
        <v>345</v>
      </c>
      <c r="B145" s="4">
        <v>17</v>
      </c>
      <c r="C145" s="4">
        <v>1453133</v>
      </c>
      <c r="D145" s="16" t="str">
        <f t="shared" si="2"/>
        <v>High Value Order</v>
      </c>
    </row>
    <row r="146" spans="1:4" x14ac:dyDescent="0.3">
      <c r="A146" s="4" t="s">
        <v>346</v>
      </c>
      <c r="B146" s="4">
        <v>42</v>
      </c>
      <c r="C146" s="4">
        <v>1271955</v>
      </c>
      <c r="D146" s="16" t="str">
        <f t="shared" si="2"/>
        <v>High Value Order</v>
      </c>
    </row>
    <row r="147" spans="1:4" x14ac:dyDescent="0.3">
      <c r="A147" s="4" t="s">
        <v>347</v>
      </c>
      <c r="B147" s="4">
        <v>85</v>
      </c>
      <c r="C147" s="4">
        <v>280093</v>
      </c>
      <c r="D147" s="16" t="str">
        <f t="shared" si="2"/>
        <v>High Value Order</v>
      </c>
    </row>
    <row r="148" spans="1:4" x14ac:dyDescent="0.3">
      <c r="A148" s="4" t="s">
        <v>348</v>
      </c>
      <c r="B148" s="4">
        <v>100</v>
      </c>
      <c r="C148" s="4">
        <v>458409</v>
      </c>
      <c r="D148" s="16" t="str">
        <f t="shared" si="2"/>
        <v>High Value Order</v>
      </c>
    </row>
    <row r="149" spans="1:4" x14ac:dyDescent="0.3">
      <c r="A149" s="4" t="s">
        <v>349</v>
      </c>
      <c r="B149" s="4">
        <v>34</v>
      </c>
      <c r="C149" s="4">
        <v>329249</v>
      </c>
      <c r="D149" s="16" t="str">
        <f t="shared" si="2"/>
        <v>Normal Order</v>
      </c>
    </row>
    <row r="150" spans="1:4" x14ac:dyDescent="0.3">
      <c r="A150" s="4" t="s">
        <v>350</v>
      </c>
      <c r="B150" s="4">
        <v>52</v>
      </c>
      <c r="C150" s="4">
        <v>1782559</v>
      </c>
      <c r="D150" s="16" t="str">
        <f t="shared" si="2"/>
        <v>High Value Order</v>
      </c>
    </row>
    <row r="151" spans="1:4" x14ac:dyDescent="0.3">
      <c r="A151" s="4" t="s">
        <v>351</v>
      </c>
      <c r="B151" s="4">
        <v>31</v>
      </c>
      <c r="C151" s="4">
        <v>1562451</v>
      </c>
      <c r="D151" s="16" t="str">
        <f t="shared" si="2"/>
        <v>High Value Order</v>
      </c>
    </row>
    <row r="152" spans="1:4" x14ac:dyDescent="0.3">
      <c r="A152" s="4" t="s">
        <v>352</v>
      </c>
      <c r="B152" s="4">
        <v>70</v>
      </c>
      <c r="C152" s="4">
        <v>671036</v>
      </c>
      <c r="D152" s="16" t="str">
        <f t="shared" si="2"/>
        <v>High Value Order</v>
      </c>
    </row>
  </sheetData>
  <mergeCells count="2">
    <mergeCell ref="F2:J6"/>
    <mergeCell ref="F9:J9"/>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1"/>
  <sheetViews>
    <sheetView workbookViewId="0">
      <selection activeCell="K67" sqref="K67"/>
    </sheetView>
  </sheetViews>
  <sheetFormatPr defaultColWidth="18.88671875" defaultRowHeight="14.4" x14ac:dyDescent="0.3"/>
  <cols>
    <col min="3" max="3" width="20.109375" bestFit="1" customWidth="1"/>
    <col min="4" max="4" width="15" customWidth="1"/>
  </cols>
  <sheetData>
    <row r="1" spans="1:7" ht="15" thickBot="1" x14ac:dyDescent="0.35">
      <c r="A1" s="18" t="s">
        <v>200</v>
      </c>
      <c r="B1" s="18" t="s">
        <v>353</v>
      </c>
      <c r="C1" s="18" t="s">
        <v>366</v>
      </c>
    </row>
    <row r="2" spans="1:7" ht="15" customHeight="1" x14ac:dyDescent="0.3">
      <c r="A2" s="17" t="s">
        <v>203</v>
      </c>
      <c r="B2" s="17">
        <v>1</v>
      </c>
      <c r="C2" s="19" t="str" cm="1">
        <f t="array" ref="C2">_xlfn.IFS(B2&lt;=2,"Urgent",B2&lt;=5,"Normal",B2&gt;5,"No Urgency")</f>
        <v>Urgent</v>
      </c>
      <c r="E2" s="98" t="s">
        <v>372</v>
      </c>
      <c r="F2" s="123"/>
      <c r="G2" s="124"/>
    </row>
    <row r="3" spans="1:7" x14ac:dyDescent="0.3">
      <c r="A3" s="17" t="s">
        <v>204</v>
      </c>
      <c r="B3" s="17">
        <v>8</v>
      </c>
      <c r="C3" s="19" t="str" cm="1">
        <f t="array" ref="C3">_xlfn.IFS(B3&lt;=2,"Urgent",B3&lt;=5,"Normal",B3&gt;5,"No Urgency")</f>
        <v>No Urgency</v>
      </c>
      <c r="E3" s="125"/>
      <c r="F3" s="126"/>
      <c r="G3" s="127"/>
    </row>
    <row r="4" spans="1:7" x14ac:dyDescent="0.3">
      <c r="A4" s="17" t="s">
        <v>205</v>
      </c>
      <c r="B4" s="17">
        <v>6</v>
      </c>
      <c r="C4" s="19" t="str" cm="1">
        <f t="array" ref="C4">_xlfn.IFS(B4&lt;=2,"Urgent",B4&lt;=5,"Normal",B4&gt;5,"No Urgency")</f>
        <v>No Urgency</v>
      </c>
      <c r="E4" s="125"/>
      <c r="F4" s="126"/>
      <c r="G4" s="127"/>
    </row>
    <row r="5" spans="1:7" x14ac:dyDescent="0.3">
      <c r="A5" s="17" t="s">
        <v>206</v>
      </c>
      <c r="B5" s="17">
        <v>8</v>
      </c>
      <c r="C5" s="19" t="str" cm="1">
        <f t="array" ref="C5">_xlfn.IFS(B5&lt;=2,"Urgent",B5&lt;=5,"Normal",B5&gt;5,"No Urgency")</f>
        <v>No Urgency</v>
      </c>
      <c r="E5" s="125"/>
      <c r="F5" s="126"/>
      <c r="G5" s="127"/>
    </row>
    <row r="6" spans="1:7" x14ac:dyDescent="0.3">
      <c r="A6" s="17" t="s">
        <v>207</v>
      </c>
      <c r="B6" s="17">
        <v>5</v>
      </c>
      <c r="C6" s="19" t="str" cm="1">
        <f t="array" ref="C6">_xlfn.IFS(B6&lt;=2,"Urgent",B6&lt;=5,"Normal",B6&gt;5,"No Urgency")</f>
        <v>Normal</v>
      </c>
      <c r="E6" s="125"/>
      <c r="F6" s="126"/>
      <c r="G6" s="127"/>
    </row>
    <row r="7" spans="1:7" x14ac:dyDescent="0.3">
      <c r="A7" s="17" t="s">
        <v>208</v>
      </c>
      <c r="B7" s="17">
        <v>8</v>
      </c>
      <c r="C7" s="19" t="str" cm="1">
        <f t="array" ref="C7">_xlfn.IFS(B7&lt;=2,"Urgent",B7&lt;=5,"Normal",B7&gt;5,"No Urgency")</f>
        <v>No Urgency</v>
      </c>
      <c r="E7" s="125"/>
      <c r="F7" s="126"/>
      <c r="G7" s="127"/>
    </row>
    <row r="8" spans="1:7" ht="15" thickBot="1" x14ac:dyDescent="0.35">
      <c r="A8" s="17" t="s">
        <v>209</v>
      </c>
      <c r="B8" s="17">
        <v>2</v>
      </c>
      <c r="C8" s="19" t="str" cm="1">
        <f t="array" ref="C8">_xlfn.IFS(B8&lt;=2,"Urgent",B8&lt;=5,"Normal",B8&gt;5,"No Urgency")</f>
        <v>Urgent</v>
      </c>
      <c r="E8" s="128"/>
      <c r="F8" s="129"/>
      <c r="G8" s="130"/>
    </row>
    <row r="9" spans="1:7" x14ac:dyDescent="0.3">
      <c r="A9" s="17" t="s">
        <v>210</v>
      </c>
      <c r="B9" s="17">
        <v>7</v>
      </c>
      <c r="C9" s="19" t="str" cm="1">
        <f t="array" ref="C9">_xlfn.IFS(B9&lt;=2,"Urgent",B9&lt;=5,"Normal",B9&gt;5,"No Urgency")</f>
        <v>No Urgency</v>
      </c>
    </row>
    <row r="10" spans="1:7" x14ac:dyDescent="0.3">
      <c r="A10" s="17" t="s">
        <v>211</v>
      </c>
      <c r="B10" s="17">
        <v>10</v>
      </c>
      <c r="C10" s="19" t="str" cm="1">
        <f t="array" ref="C10">_xlfn.IFS(B10&lt;=2,"Urgent",B10&lt;=5,"Normal",B10&gt;5,"No Urgency")</f>
        <v>No Urgency</v>
      </c>
    </row>
    <row r="11" spans="1:7" x14ac:dyDescent="0.3">
      <c r="A11" s="17" t="s">
        <v>212</v>
      </c>
      <c r="B11" s="17">
        <v>5</v>
      </c>
      <c r="C11" s="19" t="str" cm="1">
        <f t="array" ref="C11">_xlfn.IFS(B11&lt;=2,"Urgent",B11&lt;=5,"Normal",B11&gt;5,"No Urgency")</f>
        <v>Normal</v>
      </c>
    </row>
    <row r="12" spans="1:7" x14ac:dyDescent="0.3">
      <c r="A12" s="17" t="s">
        <v>213</v>
      </c>
      <c r="B12" s="17">
        <v>7</v>
      </c>
      <c r="C12" s="19" t="str" cm="1">
        <f t="array" ref="C12">_xlfn.IFS(B12&lt;=2,"Urgent",B12&lt;=5,"Normal",B12&gt;5,"No Urgency")</f>
        <v>No Urgency</v>
      </c>
      <c r="E12" s="122" t="s">
        <v>757</v>
      </c>
      <c r="F12" s="122"/>
      <c r="G12" s="122"/>
    </row>
    <row r="13" spans="1:7" x14ac:dyDescent="0.3">
      <c r="A13" s="17" t="s">
        <v>214</v>
      </c>
      <c r="B13" s="17">
        <v>10</v>
      </c>
      <c r="C13" s="19" t="str" cm="1">
        <f t="array" ref="C13">_xlfn.IFS(B13&lt;=2,"Urgent",B13&lt;=5,"Normal",B13&gt;5,"No Urgency")</f>
        <v>No Urgency</v>
      </c>
    </row>
    <row r="14" spans="1:7" x14ac:dyDescent="0.3">
      <c r="A14" s="17" t="s">
        <v>215</v>
      </c>
      <c r="B14" s="17">
        <v>8</v>
      </c>
      <c r="C14" s="19" t="str" cm="1">
        <f t="array" ref="C14">_xlfn.IFS(B14&lt;=2,"Urgent",B14&lt;=5,"Normal",B14&gt;5,"No Urgency")</f>
        <v>No Urgency</v>
      </c>
    </row>
    <row r="15" spans="1:7" x14ac:dyDescent="0.3">
      <c r="A15" s="17" t="s">
        <v>216</v>
      </c>
      <c r="B15" s="17">
        <v>1</v>
      </c>
      <c r="C15" s="19" t="str" cm="1">
        <f t="array" ref="C15">_xlfn.IFS(B15&lt;=2,"Urgent",B15&lt;=5,"Normal",B15&gt;5,"No Urgency")</f>
        <v>Urgent</v>
      </c>
    </row>
    <row r="16" spans="1:7" x14ac:dyDescent="0.3">
      <c r="A16" s="17" t="s">
        <v>217</v>
      </c>
      <c r="B16" s="17">
        <v>8</v>
      </c>
      <c r="C16" s="19" t="str" cm="1">
        <f t="array" ref="C16">_xlfn.IFS(B16&lt;=2,"Urgent",B16&lt;=5,"Normal",B16&gt;5,"No Urgency")</f>
        <v>No Urgency</v>
      </c>
    </row>
    <row r="17" spans="1:3" x14ac:dyDescent="0.3">
      <c r="A17" s="17" t="s">
        <v>218</v>
      </c>
      <c r="B17" s="17">
        <v>3</v>
      </c>
      <c r="C17" s="19" t="str" cm="1">
        <f t="array" ref="C17">_xlfn.IFS(B17&lt;=2,"Urgent",B17&lt;=5,"Normal",B17&gt;5,"No Urgency")</f>
        <v>Normal</v>
      </c>
    </row>
    <row r="18" spans="1:3" x14ac:dyDescent="0.3">
      <c r="A18" s="17" t="s">
        <v>219</v>
      </c>
      <c r="B18" s="17">
        <v>7</v>
      </c>
      <c r="C18" s="19" t="str" cm="1">
        <f t="array" ref="C18">_xlfn.IFS(B18&lt;=2,"Urgent",B18&lt;=5,"Normal",B18&gt;5,"No Urgency")</f>
        <v>No Urgency</v>
      </c>
    </row>
    <row r="19" spans="1:3" x14ac:dyDescent="0.3">
      <c r="A19" s="17" t="s">
        <v>220</v>
      </c>
      <c r="B19" s="17">
        <v>4</v>
      </c>
      <c r="C19" s="19" t="str" cm="1">
        <f t="array" ref="C19">_xlfn.IFS(B19&lt;=2,"Urgent",B19&lt;=5,"Normal",B19&gt;5,"No Urgency")</f>
        <v>Normal</v>
      </c>
    </row>
    <row r="20" spans="1:3" x14ac:dyDescent="0.3">
      <c r="A20" s="17" t="s">
        <v>221</v>
      </c>
      <c r="B20" s="17">
        <v>10</v>
      </c>
      <c r="C20" s="19" t="str" cm="1">
        <f t="array" ref="C20">_xlfn.IFS(B20&lt;=2,"Urgent",B20&lt;=5,"Normal",B20&gt;5,"No Urgency")</f>
        <v>No Urgency</v>
      </c>
    </row>
    <row r="21" spans="1:3" x14ac:dyDescent="0.3">
      <c r="A21" s="17" t="s">
        <v>222</v>
      </c>
      <c r="B21" s="17">
        <v>3</v>
      </c>
      <c r="C21" s="19" t="str" cm="1">
        <f t="array" ref="C21">_xlfn.IFS(B21&lt;=2,"Urgent",B21&lt;=5,"Normal",B21&gt;5,"No Urgency")</f>
        <v>Normal</v>
      </c>
    </row>
    <row r="22" spans="1:3" x14ac:dyDescent="0.3">
      <c r="A22" s="17" t="s">
        <v>223</v>
      </c>
      <c r="B22" s="17">
        <v>2</v>
      </c>
      <c r="C22" s="19" t="str" cm="1">
        <f t="array" ref="C22">_xlfn.IFS(B22&lt;=2,"Urgent",B22&lt;=5,"Normal",B22&gt;5,"No Urgency")</f>
        <v>Urgent</v>
      </c>
    </row>
    <row r="23" spans="1:3" x14ac:dyDescent="0.3">
      <c r="A23" s="17" t="s">
        <v>224</v>
      </c>
      <c r="B23" s="17">
        <v>2</v>
      </c>
      <c r="C23" s="19" t="str" cm="1">
        <f t="array" ref="C23">_xlfn.IFS(B23&lt;=2,"Urgent",B23&lt;=5,"Normal",B23&gt;5,"No Urgency")</f>
        <v>Urgent</v>
      </c>
    </row>
    <row r="24" spans="1:3" x14ac:dyDescent="0.3">
      <c r="A24" s="17" t="s">
        <v>225</v>
      </c>
      <c r="B24" s="17">
        <v>6</v>
      </c>
      <c r="C24" s="19" t="str" cm="1">
        <f t="array" ref="C24">_xlfn.IFS(B24&lt;=2,"Urgent",B24&lt;=5,"Normal",B24&gt;5,"No Urgency")</f>
        <v>No Urgency</v>
      </c>
    </row>
    <row r="25" spans="1:3" x14ac:dyDescent="0.3">
      <c r="A25" s="17" t="s">
        <v>226</v>
      </c>
      <c r="B25" s="17">
        <v>6</v>
      </c>
      <c r="C25" s="19" t="str" cm="1">
        <f t="array" ref="C25">_xlfn.IFS(B25&lt;=2,"Urgent",B25&lt;=5,"Normal",B25&gt;5,"No Urgency")</f>
        <v>No Urgency</v>
      </c>
    </row>
    <row r="26" spans="1:3" x14ac:dyDescent="0.3">
      <c r="A26" s="17" t="s">
        <v>227</v>
      </c>
      <c r="B26" s="17">
        <v>8</v>
      </c>
      <c r="C26" s="19" t="str" cm="1">
        <f t="array" ref="C26">_xlfn.IFS(B26&lt;=2,"Urgent",B26&lt;=5,"Normal",B26&gt;5,"No Urgency")</f>
        <v>No Urgency</v>
      </c>
    </row>
    <row r="27" spans="1:3" x14ac:dyDescent="0.3">
      <c r="A27" s="17" t="s">
        <v>228</v>
      </c>
      <c r="B27" s="17">
        <v>10</v>
      </c>
      <c r="C27" s="19" t="str" cm="1">
        <f t="array" ref="C27">_xlfn.IFS(B27&lt;=2,"Urgent",B27&lt;=5,"Normal",B27&gt;5,"No Urgency")</f>
        <v>No Urgency</v>
      </c>
    </row>
    <row r="28" spans="1:3" x14ac:dyDescent="0.3">
      <c r="A28" s="17" t="s">
        <v>229</v>
      </c>
      <c r="B28" s="17">
        <v>8</v>
      </c>
      <c r="C28" s="19" t="str" cm="1">
        <f t="array" ref="C28">_xlfn.IFS(B28&lt;=2,"Urgent",B28&lt;=5,"Normal",B28&gt;5,"No Urgency")</f>
        <v>No Urgency</v>
      </c>
    </row>
    <row r="29" spans="1:3" x14ac:dyDescent="0.3">
      <c r="A29" s="17" t="s">
        <v>230</v>
      </c>
      <c r="B29" s="17">
        <v>8</v>
      </c>
      <c r="C29" s="19" t="str" cm="1">
        <f t="array" ref="C29">_xlfn.IFS(B29&lt;=2,"Urgent",B29&lt;=5,"Normal",B29&gt;5,"No Urgency")</f>
        <v>No Urgency</v>
      </c>
    </row>
    <row r="30" spans="1:3" x14ac:dyDescent="0.3">
      <c r="A30" s="17" t="s">
        <v>231</v>
      </c>
      <c r="B30" s="17">
        <v>5</v>
      </c>
      <c r="C30" s="19" t="str" cm="1">
        <f t="array" ref="C30">_xlfn.IFS(B30&lt;=2,"Urgent",B30&lt;=5,"Normal",B30&gt;5,"No Urgency")</f>
        <v>Normal</v>
      </c>
    </row>
    <row r="31" spans="1:3" x14ac:dyDescent="0.3">
      <c r="A31" s="17" t="s">
        <v>232</v>
      </c>
      <c r="B31" s="17">
        <v>4</v>
      </c>
      <c r="C31" s="19" t="str" cm="1">
        <f t="array" ref="C31">_xlfn.IFS(B31&lt;=2,"Urgent",B31&lt;=5,"Normal",B31&gt;5,"No Urgency")</f>
        <v>Normal</v>
      </c>
    </row>
    <row r="32" spans="1:3" x14ac:dyDescent="0.3">
      <c r="A32" s="17" t="s">
        <v>233</v>
      </c>
      <c r="B32" s="17">
        <v>8</v>
      </c>
      <c r="C32" s="19" t="str" cm="1">
        <f t="array" ref="C32">_xlfn.IFS(B32&lt;=2,"Urgent",B32&lt;=5,"Normal",B32&gt;5,"No Urgency")</f>
        <v>No Urgency</v>
      </c>
    </row>
    <row r="33" spans="1:3" x14ac:dyDescent="0.3">
      <c r="A33" s="17" t="s">
        <v>234</v>
      </c>
      <c r="B33" s="17">
        <v>1</v>
      </c>
      <c r="C33" s="19" t="str" cm="1">
        <f t="array" ref="C33">_xlfn.IFS(B33&lt;=2,"Urgent",B33&lt;=5,"Normal",B33&gt;5,"No Urgency")</f>
        <v>Urgent</v>
      </c>
    </row>
    <row r="34" spans="1:3" x14ac:dyDescent="0.3">
      <c r="A34" s="17" t="s">
        <v>235</v>
      </c>
      <c r="B34" s="17">
        <v>7</v>
      </c>
      <c r="C34" s="19" t="str" cm="1">
        <f t="array" ref="C34">_xlfn.IFS(B34&lt;=2,"Urgent",B34&lt;=5,"Normal",B34&gt;5,"No Urgency")</f>
        <v>No Urgency</v>
      </c>
    </row>
    <row r="35" spans="1:3" x14ac:dyDescent="0.3">
      <c r="A35" s="17" t="s">
        <v>236</v>
      </c>
      <c r="B35" s="17">
        <v>9</v>
      </c>
      <c r="C35" s="19" t="str" cm="1">
        <f t="array" ref="C35">_xlfn.IFS(B35&lt;=2,"Urgent",B35&lt;=5,"Normal",B35&gt;5,"No Urgency")</f>
        <v>No Urgency</v>
      </c>
    </row>
    <row r="36" spans="1:3" x14ac:dyDescent="0.3">
      <c r="A36" s="17" t="s">
        <v>237</v>
      </c>
      <c r="B36" s="17">
        <v>8</v>
      </c>
      <c r="C36" s="19" t="str" cm="1">
        <f t="array" ref="C36">_xlfn.IFS(B36&lt;=2,"Urgent",B36&lt;=5,"Normal",B36&gt;5,"No Urgency")</f>
        <v>No Urgency</v>
      </c>
    </row>
    <row r="37" spans="1:3" x14ac:dyDescent="0.3">
      <c r="A37" s="17" t="s">
        <v>238</v>
      </c>
      <c r="B37" s="17">
        <v>3</v>
      </c>
      <c r="C37" s="19" t="str" cm="1">
        <f t="array" ref="C37">_xlfn.IFS(B37&lt;=2,"Urgent",B37&lt;=5,"Normal",B37&gt;5,"No Urgency")</f>
        <v>Normal</v>
      </c>
    </row>
    <row r="38" spans="1:3" x14ac:dyDescent="0.3">
      <c r="A38" s="17" t="s">
        <v>239</v>
      </c>
      <c r="B38" s="17">
        <v>3</v>
      </c>
      <c r="C38" s="19" t="str" cm="1">
        <f t="array" ref="C38">_xlfn.IFS(B38&lt;=2,"Urgent",B38&lt;=5,"Normal",B38&gt;5,"No Urgency")</f>
        <v>Normal</v>
      </c>
    </row>
    <row r="39" spans="1:3" x14ac:dyDescent="0.3">
      <c r="A39" s="17" t="s">
        <v>240</v>
      </c>
      <c r="B39" s="17">
        <v>9</v>
      </c>
      <c r="C39" s="19" t="str" cm="1">
        <f t="array" ref="C39">_xlfn.IFS(B39&lt;=2,"Urgent",B39&lt;=5,"Normal",B39&gt;5,"No Urgency")</f>
        <v>No Urgency</v>
      </c>
    </row>
    <row r="40" spans="1:3" x14ac:dyDescent="0.3">
      <c r="A40" s="17" t="s">
        <v>241</v>
      </c>
      <c r="B40" s="17">
        <v>5</v>
      </c>
      <c r="C40" s="19" t="str" cm="1">
        <f t="array" ref="C40">_xlfn.IFS(B40&lt;=2,"Urgent",B40&lt;=5,"Normal",B40&gt;5,"No Urgency")</f>
        <v>Normal</v>
      </c>
    </row>
    <row r="41" spans="1:3" x14ac:dyDescent="0.3">
      <c r="A41" s="17" t="s">
        <v>242</v>
      </c>
      <c r="B41" s="17">
        <v>8</v>
      </c>
      <c r="C41" s="19" t="str" cm="1">
        <f t="array" ref="C41">_xlfn.IFS(B41&lt;=2,"Urgent",B41&lt;=5,"Normal",B41&gt;5,"No Urgency")</f>
        <v>No Urgency</v>
      </c>
    </row>
    <row r="42" spans="1:3" x14ac:dyDescent="0.3">
      <c r="A42" s="17" t="s">
        <v>243</v>
      </c>
      <c r="B42" s="17">
        <v>5</v>
      </c>
      <c r="C42" s="19" t="str" cm="1">
        <f t="array" ref="C42">_xlfn.IFS(B42&lt;=2,"Urgent",B42&lt;=5,"Normal",B42&gt;5,"No Urgency")</f>
        <v>Normal</v>
      </c>
    </row>
    <row r="43" spans="1:3" x14ac:dyDescent="0.3">
      <c r="A43" s="17" t="s">
        <v>244</v>
      </c>
      <c r="B43" s="17">
        <v>2</v>
      </c>
      <c r="C43" s="19" t="str" cm="1">
        <f t="array" ref="C43">_xlfn.IFS(B43&lt;=2,"Urgent",B43&lt;=5,"Normal",B43&gt;5,"No Urgency")</f>
        <v>Urgent</v>
      </c>
    </row>
    <row r="44" spans="1:3" x14ac:dyDescent="0.3">
      <c r="A44" s="17" t="s">
        <v>245</v>
      </c>
      <c r="B44" s="17">
        <v>9</v>
      </c>
      <c r="C44" s="19" t="str" cm="1">
        <f t="array" ref="C44">_xlfn.IFS(B44&lt;=2,"Urgent",B44&lt;=5,"Normal",B44&gt;5,"No Urgency")</f>
        <v>No Urgency</v>
      </c>
    </row>
    <row r="45" spans="1:3" x14ac:dyDescent="0.3">
      <c r="A45" s="17" t="s">
        <v>246</v>
      </c>
      <c r="B45" s="17">
        <v>5</v>
      </c>
      <c r="C45" s="19" t="str" cm="1">
        <f t="array" ref="C45">_xlfn.IFS(B45&lt;=2,"Urgent",B45&lt;=5,"Normal",B45&gt;5,"No Urgency")</f>
        <v>Normal</v>
      </c>
    </row>
    <row r="46" spans="1:3" x14ac:dyDescent="0.3">
      <c r="A46" s="17" t="s">
        <v>247</v>
      </c>
      <c r="B46" s="17">
        <v>4</v>
      </c>
      <c r="C46" s="19" t="str" cm="1">
        <f t="array" ref="C46">_xlfn.IFS(B46&lt;=2,"Urgent",B46&lt;=5,"Normal",B46&gt;5,"No Urgency")</f>
        <v>Normal</v>
      </c>
    </row>
    <row r="47" spans="1:3" x14ac:dyDescent="0.3">
      <c r="A47" s="17" t="s">
        <v>248</v>
      </c>
      <c r="B47" s="17">
        <v>7</v>
      </c>
      <c r="C47" s="19" t="str" cm="1">
        <f t="array" ref="C47">_xlfn.IFS(B47&lt;=2,"Urgent",B47&lt;=5,"Normal",B47&gt;5,"No Urgency")</f>
        <v>No Urgency</v>
      </c>
    </row>
    <row r="48" spans="1:3" x14ac:dyDescent="0.3">
      <c r="A48" s="17" t="s">
        <v>249</v>
      </c>
      <c r="B48" s="17">
        <v>6</v>
      </c>
      <c r="C48" s="19" t="str" cm="1">
        <f t="array" ref="C48">_xlfn.IFS(B48&lt;=2,"Urgent",B48&lt;=5,"Normal",B48&gt;5,"No Urgency")</f>
        <v>No Urgency</v>
      </c>
    </row>
    <row r="49" spans="1:3" x14ac:dyDescent="0.3">
      <c r="A49" s="17" t="s">
        <v>250</v>
      </c>
      <c r="B49" s="17">
        <v>3</v>
      </c>
      <c r="C49" s="19" t="str" cm="1">
        <f t="array" ref="C49">_xlfn.IFS(B49&lt;=2,"Urgent",B49&lt;=5,"Normal",B49&gt;5,"No Urgency")</f>
        <v>Normal</v>
      </c>
    </row>
    <row r="50" spans="1:3" x14ac:dyDescent="0.3">
      <c r="A50" s="17" t="s">
        <v>251</v>
      </c>
      <c r="B50" s="17">
        <v>5</v>
      </c>
      <c r="C50" s="19" t="str" cm="1">
        <f t="array" ref="C50">_xlfn.IFS(B50&lt;=2,"Urgent",B50&lt;=5,"Normal",B50&gt;5,"No Urgency")</f>
        <v>Normal</v>
      </c>
    </row>
    <row r="51" spans="1:3" x14ac:dyDescent="0.3">
      <c r="A51" s="17" t="s">
        <v>252</v>
      </c>
      <c r="B51" s="17">
        <v>3</v>
      </c>
      <c r="C51" s="19" t="str" cm="1">
        <f t="array" ref="C51">_xlfn.IFS(B51&lt;=2,"Urgent",B51&lt;=5,"Normal",B51&gt;5,"No Urgency")</f>
        <v>Normal</v>
      </c>
    </row>
    <row r="52" spans="1:3" x14ac:dyDescent="0.3">
      <c r="A52" s="17" t="s">
        <v>253</v>
      </c>
      <c r="B52" s="17">
        <v>8</v>
      </c>
      <c r="C52" s="19" t="str" cm="1">
        <f t="array" ref="C52">_xlfn.IFS(B52&lt;=2,"Urgent",B52&lt;=5,"Normal",B52&gt;5,"No Urgency")</f>
        <v>No Urgency</v>
      </c>
    </row>
    <row r="53" spans="1:3" x14ac:dyDescent="0.3">
      <c r="A53" s="17" t="s">
        <v>254</v>
      </c>
      <c r="B53" s="17">
        <v>4</v>
      </c>
      <c r="C53" s="19" t="str" cm="1">
        <f t="array" ref="C53">_xlfn.IFS(B53&lt;=2,"Urgent",B53&lt;=5,"Normal",B53&gt;5,"No Urgency")</f>
        <v>Normal</v>
      </c>
    </row>
    <row r="54" spans="1:3" x14ac:dyDescent="0.3">
      <c r="A54" s="17" t="s">
        <v>255</v>
      </c>
      <c r="B54" s="17">
        <v>4</v>
      </c>
      <c r="C54" s="19" t="str" cm="1">
        <f t="array" ref="C54">_xlfn.IFS(B54&lt;=2,"Urgent",B54&lt;=5,"Normal",B54&gt;5,"No Urgency")</f>
        <v>Normal</v>
      </c>
    </row>
    <row r="55" spans="1:3" x14ac:dyDescent="0.3">
      <c r="A55" s="17" t="s">
        <v>256</v>
      </c>
      <c r="B55" s="17">
        <v>10</v>
      </c>
      <c r="C55" s="19" t="str" cm="1">
        <f t="array" ref="C55">_xlfn.IFS(B55&lt;=2,"Urgent",B55&lt;=5,"Normal",B55&gt;5,"No Urgency")</f>
        <v>No Urgency</v>
      </c>
    </row>
    <row r="56" spans="1:3" x14ac:dyDescent="0.3">
      <c r="A56" s="17" t="s">
        <v>257</v>
      </c>
      <c r="B56" s="17">
        <v>3</v>
      </c>
      <c r="C56" s="19" t="str" cm="1">
        <f t="array" ref="C56">_xlfn.IFS(B56&lt;=2,"Urgent",B56&lt;=5,"Normal",B56&gt;5,"No Urgency")</f>
        <v>Normal</v>
      </c>
    </row>
    <row r="57" spans="1:3" x14ac:dyDescent="0.3">
      <c r="A57" s="17" t="s">
        <v>258</v>
      </c>
      <c r="B57" s="17">
        <v>6</v>
      </c>
      <c r="C57" s="19" t="str" cm="1">
        <f t="array" ref="C57">_xlfn.IFS(B57&lt;=2,"Urgent",B57&lt;=5,"Normal",B57&gt;5,"No Urgency")</f>
        <v>No Urgency</v>
      </c>
    </row>
    <row r="58" spans="1:3" x14ac:dyDescent="0.3">
      <c r="A58" s="17" t="s">
        <v>259</v>
      </c>
      <c r="B58" s="17">
        <v>3</v>
      </c>
      <c r="C58" s="19" t="str" cm="1">
        <f t="array" ref="C58">_xlfn.IFS(B58&lt;=2,"Urgent",B58&lt;=5,"Normal",B58&gt;5,"No Urgency")</f>
        <v>Normal</v>
      </c>
    </row>
    <row r="59" spans="1:3" x14ac:dyDescent="0.3">
      <c r="A59" s="17" t="s">
        <v>260</v>
      </c>
      <c r="B59" s="17">
        <v>9</v>
      </c>
      <c r="C59" s="19" t="str" cm="1">
        <f t="array" ref="C59">_xlfn.IFS(B59&lt;=2,"Urgent",B59&lt;=5,"Normal",B59&gt;5,"No Urgency")</f>
        <v>No Urgency</v>
      </c>
    </row>
    <row r="60" spans="1:3" x14ac:dyDescent="0.3">
      <c r="A60" s="17" t="s">
        <v>261</v>
      </c>
      <c r="B60" s="17">
        <v>10</v>
      </c>
      <c r="C60" s="19" t="str" cm="1">
        <f t="array" ref="C60">_xlfn.IFS(B60&lt;=2,"Urgent",B60&lt;=5,"Normal",B60&gt;5,"No Urgency")</f>
        <v>No Urgency</v>
      </c>
    </row>
    <row r="61" spans="1:3" x14ac:dyDescent="0.3">
      <c r="A61" s="17" t="s">
        <v>262</v>
      </c>
      <c r="B61" s="17">
        <v>10</v>
      </c>
      <c r="C61" s="19" t="str" cm="1">
        <f t="array" ref="C61">_xlfn.IFS(B61&lt;=2,"Urgent",B61&lt;=5,"Normal",B61&gt;5,"No Urgency")</f>
        <v>No Urgency</v>
      </c>
    </row>
    <row r="62" spans="1:3" x14ac:dyDescent="0.3">
      <c r="A62" s="17" t="s">
        <v>263</v>
      </c>
      <c r="B62" s="17">
        <v>7</v>
      </c>
      <c r="C62" s="19" t="str" cm="1">
        <f t="array" ref="C62">_xlfn.IFS(B62&lt;=2,"Urgent",B62&lt;=5,"Normal",B62&gt;5,"No Urgency")</f>
        <v>No Urgency</v>
      </c>
    </row>
    <row r="63" spans="1:3" x14ac:dyDescent="0.3">
      <c r="A63" s="17" t="s">
        <v>264</v>
      </c>
      <c r="B63" s="17">
        <v>5</v>
      </c>
      <c r="C63" s="19" t="str" cm="1">
        <f t="array" ref="C63">_xlfn.IFS(B63&lt;=2,"Urgent",B63&lt;=5,"Normal",B63&gt;5,"No Urgency")</f>
        <v>Normal</v>
      </c>
    </row>
    <row r="64" spans="1:3" x14ac:dyDescent="0.3">
      <c r="A64" s="17" t="s">
        <v>265</v>
      </c>
      <c r="B64" s="17">
        <v>6</v>
      </c>
      <c r="C64" s="19" t="str" cm="1">
        <f t="array" ref="C64">_xlfn.IFS(B64&lt;=2,"Urgent",B64&lt;=5,"Normal",B64&gt;5,"No Urgency")</f>
        <v>No Urgency</v>
      </c>
    </row>
    <row r="65" spans="1:3" x14ac:dyDescent="0.3">
      <c r="A65" s="17" t="s">
        <v>266</v>
      </c>
      <c r="B65" s="17">
        <v>7</v>
      </c>
      <c r="C65" s="19" t="str" cm="1">
        <f t="array" ref="C65">_xlfn.IFS(B65&lt;=2,"Urgent",B65&lt;=5,"Normal",B65&gt;5,"No Urgency")</f>
        <v>No Urgency</v>
      </c>
    </row>
    <row r="66" spans="1:3" x14ac:dyDescent="0.3">
      <c r="A66" s="17" t="s">
        <v>267</v>
      </c>
      <c r="B66" s="17">
        <v>10</v>
      </c>
      <c r="C66" s="19" t="str" cm="1">
        <f t="array" ref="C66">_xlfn.IFS(B66&lt;=2,"Urgent",B66&lt;=5,"Normal",B66&gt;5,"No Urgency")</f>
        <v>No Urgency</v>
      </c>
    </row>
    <row r="67" spans="1:3" x14ac:dyDescent="0.3">
      <c r="A67" s="17" t="s">
        <v>268</v>
      </c>
      <c r="B67" s="17">
        <v>4</v>
      </c>
      <c r="C67" s="19" t="str" cm="1">
        <f t="array" ref="C67">_xlfn.IFS(B67&lt;=2,"Urgent",B67&lt;=5,"Normal",B67&gt;5,"No Urgency")</f>
        <v>Normal</v>
      </c>
    </row>
    <row r="68" spans="1:3" x14ac:dyDescent="0.3">
      <c r="A68" s="17" t="s">
        <v>269</v>
      </c>
      <c r="B68" s="17">
        <v>2</v>
      </c>
      <c r="C68" s="19" t="str" cm="1">
        <f t="array" ref="C68">_xlfn.IFS(B68&lt;=2,"Urgent",B68&lt;=5,"Normal",B68&gt;5,"No Urgency")</f>
        <v>Urgent</v>
      </c>
    </row>
    <row r="69" spans="1:3" x14ac:dyDescent="0.3">
      <c r="A69" s="17" t="s">
        <v>270</v>
      </c>
      <c r="B69" s="17">
        <v>5</v>
      </c>
      <c r="C69" s="19" t="str" cm="1">
        <f t="array" ref="C69">_xlfn.IFS(B69&lt;=2,"Urgent",B69&lt;=5,"Normal",B69&gt;5,"No Urgency")</f>
        <v>Normal</v>
      </c>
    </row>
    <row r="70" spans="1:3" x14ac:dyDescent="0.3">
      <c r="A70" s="17" t="s">
        <v>271</v>
      </c>
      <c r="B70" s="17">
        <v>9</v>
      </c>
      <c r="C70" s="19" t="str" cm="1">
        <f t="array" ref="C70">_xlfn.IFS(B70&lt;=2,"Urgent",B70&lt;=5,"Normal",B70&gt;5,"No Urgency")</f>
        <v>No Urgency</v>
      </c>
    </row>
    <row r="71" spans="1:3" x14ac:dyDescent="0.3">
      <c r="A71" s="17" t="s">
        <v>272</v>
      </c>
      <c r="B71" s="17">
        <v>7</v>
      </c>
      <c r="C71" s="19" t="str" cm="1">
        <f t="array" ref="C71">_xlfn.IFS(B71&lt;=2,"Urgent",B71&lt;=5,"Normal",B71&gt;5,"No Urgency")</f>
        <v>No Urgency</v>
      </c>
    </row>
    <row r="72" spans="1:3" x14ac:dyDescent="0.3">
      <c r="A72" s="17" t="s">
        <v>273</v>
      </c>
      <c r="B72" s="17">
        <v>3</v>
      </c>
      <c r="C72" s="19" t="str" cm="1">
        <f t="array" ref="C72">_xlfn.IFS(B72&lt;=2,"Urgent",B72&lt;=5,"Normal",B72&gt;5,"No Urgency")</f>
        <v>Normal</v>
      </c>
    </row>
    <row r="73" spans="1:3" x14ac:dyDescent="0.3">
      <c r="A73" s="17" t="s">
        <v>274</v>
      </c>
      <c r="B73" s="17">
        <v>10</v>
      </c>
      <c r="C73" s="19" t="str" cm="1">
        <f t="array" ref="C73">_xlfn.IFS(B73&lt;=2,"Urgent",B73&lt;=5,"Normal",B73&gt;5,"No Urgency")</f>
        <v>No Urgency</v>
      </c>
    </row>
    <row r="74" spans="1:3" x14ac:dyDescent="0.3">
      <c r="A74" s="17" t="s">
        <v>275</v>
      </c>
      <c r="B74" s="17">
        <v>6</v>
      </c>
      <c r="C74" s="19" t="str" cm="1">
        <f t="array" ref="C74">_xlfn.IFS(B74&lt;=2,"Urgent",B74&lt;=5,"Normal",B74&gt;5,"No Urgency")</f>
        <v>No Urgency</v>
      </c>
    </row>
    <row r="75" spans="1:3" x14ac:dyDescent="0.3">
      <c r="A75" s="17" t="s">
        <v>276</v>
      </c>
      <c r="B75" s="17">
        <v>9</v>
      </c>
      <c r="C75" s="19" t="str" cm="1">
        <f t="array" ref="C75">_xlfn.IFS(B75&lt;=2,"Urgent",B75&lt;=5,"Normal",B75&gt;5,"No Urgency")</f>
        <v>No Urgency</v>
      </c>
    </row>
    <row r="76" spans="1:3" x14ac:dyDescent="0.3">
      <c r="A76" s="17" t="s">
        <v>277</v>
      </c>
      <c r="B76" s="17">
        <v>2</v>
      </c>
      <c r="C76" s="19" t="str" cm="1">
        <f t="array" ref="C76">_xlfn.IFS(B76&lt;=2,"Urgent",B76&lt;=5,"Normal",B76&gt;5,"No Urgency")</f>
        <v>Urgent</v>
      </c>
    </row>
    <row r="77" spans="1:3" x14ac:dyDescent="0.3">
      <c r="A77" s="17" t="s">
        <v>278</v>
      </c>
      <c r="B77" s="17">
        <v>5</v>
      </c>
      <c r="C77" s="19" t="str" cm="1">
        <f t="array" ref="C77">_xlfn.IFS(B77&lt;=2,"Urgent",B77&lt;=5,"Normal",B77&gt;5,"No Urgency")</f>
        <v>Normal</v>
      </c>
    </row>
    <row r="78" spans="1:3" x14ac:dyDescent="0.3">
      <c r="A78" s="17" t="s">
        <v>279</v>
      </c>
      <c r="B78" s="17">
        <v>4</v>
      </c>
      <c r="C78" s="19" t="str" cm="1">
        <f t="array" ref="C78">_xlfn.IFS(B78&lt;=2,"Urgent",B78&lt;=5,"Normal",B78&gt;5,"No Urgency")</f>
        <v>Normal</v>
      </c>
    </row>
    <row r="79" spans="1:3" x14ac:dyDescent="0.3">
      <c r="A79" s="17" t="s">
        <v>280</v>
      </c>
      <c r="B79" s="17">
        <v>5</v>
      </c>
      <c r="C79" s="19" t="str" cm="1">
        <f t="array" ref="C79">_xlfn.IFS(B79&lt;=2,"Urgent",B79&lt;=5,"Normal",B79&gt;5,"No Urgency")</f>
        <v>Normal</v>
      </c>
    </row>
    <row r="80" spans="1:3" x14ac:dyDescent="0.3">
      <c r="A80" s="17" t="s">
        <v>281</v>
      </c>
      <c r="B80" s="17">
        <v>1</v>
      </c>
      <c r="C80" s="19" t="str" cm="1">
        <f t="array" ref="C80">_xlfn.IFS(B80&lt;=2,"Urgent",B80&lt;=5,"Normal",B80&gt;5,"No Urgency")</f>
        <v>Urgent</v>
      </c>
    </row>
    <row r="81" spans="1:3" x14ac:dyDescent="0.3">
      <c r="A81" s="17" t="s">
        <v>282</v>
      </c>
      <c r="B81" s="17">
        <v>7</v>
      </c>
      <c r="C81" s="19" t="str" cm="1">
        <f t="array" ref="C81">_xlfn.IFS(B81&lt;=2,"Urgent",B81&lt;=5,"Normal",B81&gt;5,"No Urgency")</f>
        <v>No Urgency</v>
      </c>
    </row>
    <row r="82" spans="1:3" x14ac:dyDescent="0.3">
      <c r="A82" s="17" t="s">
        <v>283</v>
      </c>
      <c r="B82" s="17">
        <v>10</v>
      </c>
      <c r="C82" s="19" t="str" cm="1">
        <f t="array" ref="C82">_xlfn.IFS(B82&lt;=2,"Urgent",B82&lt;=5,"Normal",B82&gt;5,"No Urgency")</f>
        <v>No Urgency</v>
      </c>
    </row>
    <row r="83" spans="1:3" x14ac:dyDescent="0.3">
      <c r="A83" s="17" t="s">
        <v>284</v>
      </c>
      <c r="B83" s="17">
        <v>7</v>
      </c>
      <c r="C83" s="19" t="str" cm="1">
        <f t="array" ref="C83">_xlfn.IFS(B83&lt;=2,"Urgent",B83&lt;=5,"Normal",B83&gt;5,"No Urgency")</f>
        <v>No Urgency</v>
      </c>
    </row>
    <row r="84" spans="1:3" x14ac:dyDescent="0.3">
      <c r="A84" s="17" t="s">
        <v>285</v>
      </c>
      <c r="B84" s="17">
        <v>2</v>
      </c>
      <c r="C84" s="19" t="str" cm="1">
        <f t="array" ref="C84">_xlfn.IFS(B84&lt;=2,"Urgent",B84&lt;=5,"Normal",B84&gt;5,"No Urgency")</f>
        <v>Urgent</v>
      </c>
    </row>
    <row r="85" spans="1:3" x14ac:dyDescent="0.3">
      <c r="A85" s="17" t="s">
        <v>286</v>
      </c>
      <c r="B85" s="17">
        <v>7</v>
      </c>
      <c r="C85" s="19" t="str" cm="1">
        <f t="array" ref="C85">_xlfn.IFS(B85&lt;=2,"Urgent",B85&lt;=5,"Normal",B85&gt;5,"No Urgency")</f>
        <v>No Urgency</v>
      </c>
    </row>
    <row r="86" spans="1:3" x14ac:dyDescent="0.3">
      <c r="A86" s="17" t="s">
        <v>287</v>
      </c>
      <c r="B86" s="17">
        <v>10</v>
      </c>
      <c r="C86" s="19" t="str" cm="1">
        <f t="array" ref="C86">_xlfn.IFS(B86&lt;=2,"Urgent",B86&lt;=5,"Normal",B86&gt;5,"No Urgency")</f>
        <v>No Urgency</v>
      </c>
    </row>
    <row r="87" spans="1:3" x14ac:dyDescent="0.3">
      <c r="A87" s="17" t="s">
        <v>288</v>
      </c>
      <c r="B87" s="17">
        <v>10</v>
      </c>
      <c r="C87" s="19" t="str" cm="1">
        <f t="array" ref="C87">_xlfn.IFS(B87&lt;=2,"Urgent",B87&lt;=5,"Normal",B87&gt;5,"No Urgency")</f>
        <v>No Urgency</v>
      </c>
    </row>
    <row r="88" spans="1:3" x14ac:dyDescent="0.3">
      <c r="A88" s="17" t="s">
        <v>289</v>
      </c>
      <c r="B88" s="17">
        <v>10</v>
      </c>
      <c r="C88" s="19" t="str" cm="1">
        <f t="array" ref="C88">_xlfn.IFS(B88&lt;=2,"Urgent",B88&lt;=5,"Normal",B88&gt;5,"No Urgency")</f>
        <v>No Urgency</v>
      </c>
    </row>
    <row r="89" spans="1:3" x14ac:dyDescent="0.3">
      <c r="A89" s="17" t="s">
        <v>290</v>
      </c>
      <c r="B89" s="17">
        <v>6</v>
      </c>
      <c r="C89" s="19" t="str" cm="1">
        <f t="array" ref="C89">_xlfn.IFS(B89&lt;=2,"Urgent",B89&lt;=5,"Normal",B89&gt;5,"No Urgency")</f>
        <v>No Urgency</v>
      </c>
    </row>
    <row r="90" spans="1:3" x14ac:dyDescent="0.3">
      <c r="A90" s="17" t="s">
        <v>291</v>
      </c>
      <c r="B90" s="17">
        <v>8</v>
      </c>
      <c r="C90" s="19" t="str" cm="1">
        <f t="array" ref="C90">_xlfn.IFS(B90&lt;=2,"Urgent",B90&lt;=5,"Normal",B90&gt;5,"No Urgency")</f>
        <v>No Urgency</v>
      </c>
    </row>
    <row r="91" spans="1:3" x14ac:dyDescent="0.3">
      <c r="A91" s="17" t="s">
        <v>292</v>
      </c>
      <c r="B91" s="17">
        <v>3</v>
      </c>
      <c r="C91" s="19" t="str" cm="1">
        <f t="array" ref="C91">_xlfn.IFS(B91&lt;=2,"Urgent",B91&lt;=5,"Normal",B91&gt;5,"No Urgency")</f>
        <v>Normal</v>
      </c>
    </row>
    <row r="92" spans="1:3" x14ac:dyDescent="0.3">
      <c r="A92" s="17" t="s">
        <v>293</v>
      </c>
      <c r="B92" s="17">
        <v>10</v>
      </c>
      <c r="C92" s="19" t="str" cm="1">
        <f t="array" ref="C92">_xlfn.IFS(B92&lt;=2,"Urgent",B92&lt;=5,"Normal",B92&gt;5,"No Urgency")</f>
        <v>No Urgency</v>
      </c>
    </row>
    <row r="93" spans="1:3" x14ac:dyDescent="0.3">
      <c r="A93" s="17" t="s">
        <v>294</v>
      </c>
      <c r="B93" s="17">
        <v>2</v>
      </c>
      <c r="C93" s="19" t="str" cm="1">
        <f t="array" ref="C93">_xlfn.IFS(B93&lt;=2,"Urgent",B93&lt;=5,"Normal",B93&gt;5,"No Urgency")</f>
        <v>Urgent</v>
      </c>
    </row>
    <row r="94" spans="1:3" x14ac:dyDescent="0.3">
      <c r="A94" s="17" t="s">
        <v>295</v>
      </c>
      <c r="B94" s="17">
        <v>7</v>
      </c>
      <c r="C94" s="19" t="str" cm="1">
        <f t="array" ref="C94">_xlfn.IFS(B94&lt;=2,"Urgent",B94&lt;=5,"Normal",B94&gt;5,"No Urgency")</f>
        <v>No Urgency</v>
      </c>
    </row>
    <row r="95" spans="1:3" x14ac:dyDescent="0.3">
      <c r="A95" s="17" t="s">
        <v>296</v>
      </c>
      <c r="B95" s="17">
        <v>1</v>
      </c>
      <c r="C95" s="19" t="str" cm="1">
        <f t="array" ref="C95">_xlfn.IFS(B95&lt;=2,"Urgent",B95&lt;=5,"Normal",B95&gt;5,"No Urgency")</f>
        <v>Urgent</v>
      </c>
    </row>
    <row r="96" spans="1:3" x14ac:dyDescent="0.3">
      <c r="A96" s="17" t="s">
        <v>297</v>
      </c>
      <c r="B96" s="17">
        <v>8</v>
      </c>
      <c r="C96" s="19" t="str" cm="1">
        <f t="array" ref="C96">_xlfn.IFS(B96&lt;=2,"Urgent",B96&lt;=5,"Normal",B96&gt;5,"No Urgency")</f>
        <v>No Urgency</v>
      </c>
    </row>
    <row r="97" spans="1:3" x14ac:dyDescent="0.3">
      <c r="A97" s="17" t="s">
        <v>298</v>
      </c>
      <c r="B97" s="17">
        <v>2</v>
      </c>
      <c r="C97" s="19" t="str" cm="1">
        <f t="array" ref="C97">_xlfn.IFS(B97&lt;=2,"Urgent",B97&lt;=5,"Normal",B97&gt;5,"No Urgency")</f>
        <v>Urgent</v>
      </c>
    </row>
    <row r="98" spans="1:3" x14ac:dyDescent="0.3">
      <c r="A98" s="17" t="s">
        <v>299</v>
      </c>
      <c r="B98" s="17">
        <v>4</v>
      </c>
      <c r="C98" s="19" t="str" cm="1">
        <f t="array" ref="C98">_xlfn.IFS(B98&lt;=2,"Urgent",B98&lt;=5,"Normal",B98&gt;5,"No Urgency")</f>
        <v>Normal</v>
      </c>
    </row>
    <row r="99" spans="1:3" x14ac:dyDescent="0.3">
      <c r="A99" s="17" t="s">
        <v>300</v>
      </c>
      <c r="B99" s="17">
        <v>10</v>
      </c>
      <c r="C99" s="19" t="str" cm="1">
        <f t="array" ref="C99">_xlfn.IFS(B99&lt;=2,"Urgent",B99&lt;=5,"Normal",B99&gt;5,"No Urgency")</f>
        <v>No Urgency</v>
      </c>
    </row>
    <row r="100" spans="1:3" x14ac:dyDescent="0.3">
      <c r="A100" s="17" t="s">
        <v>301</v>
      </c>
      <c r="B100" s="17">
        <v>3</v>
      </c>
      <c r="C100" s="19" t="str" cm="1">
        <f t="array" ref="C100">_xlfn.IFS(B100&lt;=2,"Urgent",B100&lt;=5,"Normal",B100&gt;5,"No Urgency")</f>
        <v>Normal</v>
      </c>
    </row>
    <row r="101" spans="1:3" x14ac:dyDescent="0.3">
      <c r="A101" s="17" t="s">
        <v>302</v>
      </c>
      <c r="B101" s="17">
        <v>1</v>
      </c>
      <c r="C101" s="19" t="str" cm="1">
        <f t="array" ref="C101">_xlfn.IFS(B101&lt;=2,"Urgent",B101&lt;=5,"Normal",B101&gt;5,"No Urgency")</f>
        <v>Urgent</v>
      </c>
    </row>
    <row r="102" spans="1:3" x14ac:dyDescent="0.3">
      <c r="A102" s="17" t="s">
        <v>303</v>
      </c>
      <c r="B102" s="17">
        <v>7</v>
      </c>
      <c r="C102" s="19" t="str" cm="1">
        <f t="array" ref="C102">_xlfn.IFS(B102&lt;=2,"Urgent",B102&lt;=5,"Normal",B102&gt;5,"No Urgency")</f>
        <v>No Urgency</v>
      </c>
    </row>
    <row r="103" spans="1:3" x14ac:dyDescent="0.3">
      <c r="A103" s="17" t="s">
        <v>304</v>
      </c>
      <c r="B103" s="17">
        <v>10</v>
      </c>
      <c r="C103" s="19" t="str" cm="1">
        <f t="array" ref="C103">_xlfn.IFS(B103&lt;=2,"Urgent",B103&lt;=5,"Normal",B103&gt;5,"No Urgency")</f>
        <v>No Urgency</v>
      </c>
    </row>
    <row r="104" spans="1:3" x14ac:dyDescent="0.3">
      <c r="A104" s="17" t="s">
        <v>305</v>
      </c>
      <c r="B104" s="17">
        <v>4</v>
      </c>
      <c r="C104" s="19" t="str" cm="1">
        <f t="array" ref="C104">_xlfn.IFS(B104&lt;=2,"Urgent",B104&lt;=5,"Normal",B104&gt;5,"No Urgency")</f>
        <v>Normal</v>
      </c>
    </row>
    <row r="105" spans="1:3" x14ac:dyDescent="0.3">
      <c r="A105" s="17" t="s">
        <v>306</v>
      </c>
      <c r="B105" s="17">
        <v>8</v>
      </c>
      <c r="C105" s="19" t="str" cm="1">
        <f t="array" ref="C105">_xlfn.IFS(B105&lt;=2,"Urgent",B105&lt;=5,"Normal",B105&gt;5,"No Urgency")</f>
        <v>No Urgency</v>
      </c>
    </row>
    <row r="106" spans="1:3" x14ac:dyDescent="0.3">
      <c r="A106" s="17" t="s">
        <v>307</v>
      </c>
      <c r="B106" s="17">
        <v>6</v>
      </c>
      <c r="C106" s="19" t="str" cm="1">
        <f t="array" ref="C106">_xlfn.IFS(B106&lt;=2,"Urgent",B106&lt;=5,"Normal",B106&gt;5,"No Urgency")</f>
        <v>No Urgency</v>
      </c>
    </row>
    <row r="107" spans="1:3" x14ac:dyDescent="0.3">
      <c r="A107" s="17" t="s">
        <v>308</v>
      </c>
      <c r="B107" s="17">
        <v>1</v>
      </c>
      <c r="C107" s="19" t="str" cm="1">
        <f t="array" ref="C107">_xlfn.IFS(B107&lt;=2,"Urgent",B107&lt;=5,"Normal",B107&gt;5,"No Urgency")</f>
        <v>Urgent</v>
      </c>
    </row>
    <row r="108" spans="1:3" x14ac:dyDescent="0.3">
      <c r="A108" s="17" t="s">
        <v>309</v>
      </c>
      <c r="B108" s="17">
        <v>10</v>
      </c>
      <c r="C108" s="19" t="str" cm="1">
        <f t="array" ref="C108">_xlfn.IFS(B108&lt;=2,"Urgent",B108&lt;=5,"Normal",B108&gt;5,"No Urgency")</f>
        <v>No Urgency</v>
      </c>
    </row>
    <row r="109" spans="1:3" x14ac:dyDescent="0.3">
      <c r="A109" s="17" t="s">
        <v>310</v>
      </c>
      <c r="B109" s="17">
        <v>9</v>
      </c>
      <c r="C109" s="19" t="str" cm="1">
        <f t="array" ref="C109">_xlfn.IFS(B109&lt;=2,"Urgent",B109&lt;=5,"Normal",B109&gt;5,"No Urgency")</f>
        <v>No Urgency</v>
      </c>
    </row>
    <row r="110" spans="1:3" x14ac:dyDescent="0.3">
      <c r="A110" s="17" t="s">
        <v>311</v>
      </c>
      <c r="B110" s="17">
        <v>3</v>
      </c>
      <c r="C110" s="19" t="str" cm="1">
        <f t="array" ref="C110">_xlfn.IFS(B110&lt;=2,"Urgent",B110&lt;=5,"Normal",B110&gt;5,"No Urgency")</f>
        <v>Normal</v>
      </c>
    </row>
    <row r="111" spans="1:3" x14ac:dyDescent="0.3">
      <c r="A111" s="17" t="s">
        <v>312</v>
      </c>
      <c r="B111" s="17">
        <v>8</v>
      </c>
      <c r="C111" s="19" t="str" cm="1">
        <f t="array" ref="C111">_xlfn.IFS(B111&lt;=2,"Urgent",B111&lt;=5,"Normal",B111&gt;5,"No Urgency")</f>
        <v>No Urgency</v>
      </c>
    </row>
    <row r="112" spans="1:3" x14ac:dyDescent="0.3">
      <c r="A112" s="17" t="s">
        <v>313</v>
      </c>
      <c r="B112" s="17">
        <v>5</v>
      </c>
      <c r="C112" s="19" t="str" cm="1">
        <f t="array" ref="C112">_xlfn.IFS(B112&lt;=2,"Urgent",B112&lt;=5,"Normal",B112&gt;5,"No Urgency")</f>
        <v>Normal</v>
      </c>
    </row>
    <row r="113" spans="1:3" x14ac:dyDescent="0.3">
      <c r="A113" s="17" t="s">
        <v>314</v>
      </c>
      <c r="B113" s="17">
        <v>6</v>
      </c>
      <c r="C113" s="19" t="str" cm="1">
        <f t="array" ref="C113">_xlfn.IFS(B113&lt;=2,"Urgent",B113&lt;=5,"Normal",B113&gt;5,"No Urgency")</f>
        <v>No Urgency</v>
      </c>
    </row>
    <row r="114" spans="1:3" x14ac:dyDescent="0.3">
      <c r="A114" s="17" t="s">
        <v>315</v>
      </c>
      <c r="B114" s="17">
        <v>3</v>
      </c>
      <c r="C114" s="19" t="str" cm="1">
        <f t="array" ref="C114">_xlfn.IFS(B114&lt;=2,"Urgent",B114&lt;=5,"Normal",B114&gt;5,"No Urgency")</f>
        <v>Normal</v>
      </c>
    </row>
    <row r="115" spans="1:3" x14ac:dyDescent="0.3">
      <c r="A115" s="17" t="s">
        <v>316</v>
      </c>
      <c r="B115" s="17">
        <v>8</v>
      </c>
      <c r="C115" s="19" t="str" cm="1">
        <f t="array" ref="C115">_xlfn.IFS(B115&lt;=2,"Urgent",B115&lt;=5,"Normal",B115&gt;5,"No Urgency")</f>
        <v>No Urgency</v>
      </c>
    </row>
    <row r="116" spans="1:3" x14ac:dyDescent="0.3">
      <c r="A116" s="17" t="s">
        <v>317</v>
      </c>
      <c r="B116" s="17">
        <v>2</v>
      </c>
      <c r="C116" s="19" t="str" cm="1">
        <f t="array" ref="C116">_xlfn.IFS(B116&lt;=2,"Urgent",B116&lt;=5,"Normal",B116&gt;5,"No Urgency")</f>
        <v>Urgent</v>
      </c>
    </row>
    <row r="117" spans="1:3" x14ac:dyDescent="0.3">
      <c r="A117" s="17" t="s">
        <v>318</v>
      </c>
      <c r="B117" s="17">
        <v>3</v>
      </c>
      <c r="C117" s="19" t="str" cm="1">
        <f t="array" ref="C117">_xlfn.IFS(B117&lt;=2,"Urgent",B117&lt;=5,"Normal",B117&gt;5,"No Urgency")</f>
        <v>Normal</v>
      </c>
    </row>
    <row r="118" spans="1:3" x14ac:dyDescent="0.3">
      <c r="A118" s="17" t="s">
        <v>319</v>
      </c>
      <c r="B118" s="17">
        <v>10</v>
      </c>
      <c r="C118" s="19" t="str" cm="1">
        <f t="array" ref="C118">_xlfn.IFS(B118&lt;=2,"Urgent",B118&lt;=5,"Normal",B118&gt;5,"No Urgency")</f>
        <v>No Urgency</v>
      </c>
    </row>
    <row r="119" spans="1:3" x14ac:dyDescent="0.3">
      <c r="A119" s="17" t="s">
        <v>320</v>
      </c>
      <c r="B119" s="17">
        <v>6</v>
      </c>
      <c r="C119" s="19" t="str" cm="1">
        <f t="array" ref="C119">_xlfn.IFS(B119&lt;=2,"Urgent",B119&lt;=5,"Normal",B119&gt;5,"No Urgency")</f>
        <v>No Urgency</v>
      </c>
    </row>
    <row r="120" spans="1:3" x14ac:dyDescent="0.3">
      <c r="A120" s="17" t="s">
        <v>321</v>
      </c>
      <c r="B120" s="17">
        <v>3</v>
      </c>
      <c r="C120" s="19" t="str" cm="1">
        <f t="array" ref="C120">_xlfn.IFS(B120&lt;=2,"Urgent",B120&lt;=5,"Normal",B120&gt;5,"No Urgency")</f>
        <v>Normal</v>
      </c>
    </row>
    <row r="121" spans="1:3" x14ac:dyDescent="0.3">
      <c r="A121" s="17" t="s">
        <v>322</v>
      </c>
      <c r="B121" s="17">
        <v>8</v>
      </c>
      <c r="C121" s="19" t="str" cm="1">
        <f t="array" ref="C121">_xlfn.IFS(B121&lt;=2,"Urgent",B121&lt;=5,"Normal",B121&gt;5,"No Urgency")</f>
        <v>No Urgency</v>
      </c>
    </row>
    <row r="122" spans="1:3" x14ac:dyDescent="0.3">
      <c r="A122" s="17" t="s">
        <v>323</v>
      </c>
      <c r="B122" s="17">
        <v>2</v>
      </c>
      <c r="C122" s="19" t="str" cm="1">
        <f t="array" ref="C122">_xlfn.IFS(B122&lt;=2,"Urgent",B122&lt;=5,"Normal",B122&gt;5,"No Urgency")</f>
        <v>Urgent</v>
      </c>
    </row>
    <row r="123" spans="1:3" x14ac:dyDescent="0.3">
      <c r="A123" s="17" t="s">
        <v>324</v>
      </c>
      <c r="B123" s="17">
        <v>1</v>
      </c>
      <c r="C123" s="19" t="str" cm="1">
        <f t="array" ref="C123">_xlfn.IFS(B123&lt;=2,"Urgent",B123&lt;=5,"Normal",B123&gt;5,"No Urgency")</f>
        <v>Urgent</v>
      </c>
    </row>
    <row r="124" spans="1:3" x14ac:dyDescent="0.3">
      <c r="A124" s="17" t="s">
        <v>325</v>
      </c>
      <c r="B124" s="17">
        <v>6</v>
      </c>
      <c r="C124" s="19" t="str" cm="1">
        <f t="array" ref="C124">_xlfn.IFS(B124&lt;=2,"Urgent",B124&lt;=5,"Normal",B124&gt;5,"No Urgency")</f>
        <v>No Urgency</v>
      </c>
    </row>
    <row r="125" spans="1:3" x14ac:dyDescent="0.3">
      <c r="A125" s="17" t="s">
        <v>326</v>
      </c>
      <c r="B125" s="17">
        <v>6</v>
      </c>
      <c r="C125" s="19" t="str" cm="1">
        <f t="array" ref="C125">_xlfn.IFS(B125&lt;=2,"Urgent",B125&lt;=5,"Normal",B125&gt;5,"No Urgency")</f>
        <v>No Urgency</v>
      </c>
    </row>
    <row r="126" spans="1:3" x14ac:dyDescent="0.3">
      <c r="A126" s="17" t="s">
        <v>327</v>
      </c>
      <c r="B126" s="17">
        <v>8</v>
      </c>
      <c r="C126" s="19" t="str" cm="1">
        <f t="array" ref="C126">_xlfn.IFS(B126&lt;=2,"Urgent",B126&lt;=5,"Normal",B126&gt;5,"No Urgency")</f>
        <v>No Urgency</v>
      </c>
    </row>
    <row r="127" spans="1:3" x14ac:dyDescent="0.3">
      <c r="A127" s="17" t="s">
        <v>328</v>
      </c>
      <c r="B127" s="17">
        <v>7</v>
      </c>
      <c r="C127" s="19" t="str" cm="1">
        <f t="array" ref="C127">_xlfn.IFS(B127&lt;=2,"Urgent",B127&lt;=5,"Normal",B127&gt;5,"No Urgency")</f>
        <v>No Urgency</v>
      </c>
    </row>
    <row r="128" spans="1:3" x14ac:dyDescent="0.3">
      <c r="A128" s="17" t="s">
        <v>329</v>
      </c>
      <c r="B128" s="17">
        <v>7</v>
      </c>
      <c r="C128" s="19" t="str" cm="1">
        <f t="array" ref="C128">_xlfn.IFS(B128&lt;=2,"Urgent",B128&lt;=5,"Normal",B128&gt;5,"No Urgency")</f>
        <v>No Urgency</v>
      </c>
    </row>
    <row r="129" spans="1:3" x14ac:dyDescent="0.3">
      <c r="A129" s="17" t="s">
        <v>330</v>
      </c>
      <c r="B129" s="17">
        <v>9</v>
      </c>
      <c r="C129" s="19" t="str" cm="1">
        <f t="array" ref="C129">_xlfn.IFS(B129&lt;=2,"Urgent",B129&lt;=5,"Normal",B129&gt;5,"No Urgency")</f>
        <v>No Urgency</v>
      </c>
    </row>
    <row r="130" spans="1:3" x14ac:dyDescent="0.3">
      <c r="A130" s="17" t="s">
        <v>331</v>
      </c>
      <c r="B130" s="17">
        <v>9</v>
      </c>
      <c r="C130" s="19" t="str" cm="1">
        <f t="array" ref="C130">_xlfn.IFS(B130&lt;=2,"Urgent",B130&lt;=5,"Normal",B130&gt;5,"No Urgency")</f>
        <v>No Urgency</v>
      </c>
    </row>
    <row r="131" spans="1:3" x14ac:dyDescent="0.3">
      <c r="A131" s="17" t="s">
        <v>332</v>
      </c>
      <c r="B131" s="17">
        <v>6</v>
      </c>
      <c r="C131" s="19" t="str" cm="1">
        <f t="array" ref="C131">_xlfn.IFS(B131&lt;=2,"Urgent",B131&lt;=5,"Normal",B131&gt;5,"No Urgency")</f>
        <v>No Urgency</v>
      </c>
    </row>
    <row r="132" spans="1:3" x14ac:dyDescent="0.3">
      <c r="A132" s="17" t="s">
        <v>333</v>
      </c>
      <c r="B132" s="17">
        <v>2</v>
      </c>
      <c r="C132" s="19" t="str" cm="1">
        <f t="array" ref="C132">_xlfn.IFS(B132&lt;=2,"Urgent",B132&lt;=5,"Normal",B132&gt;5,"No Urgency")</f>
        <v>Urgent</v>
      </c>
    </row>
    <row r="133" spans="1:3" x14ac:dyDescent="0.3">
      <c r="A133" s="17" t="s">
        <v>334</v>
      </c>
      <c r="B133" s="17">
        <v>7</v>
      </c>
      <c r="C133" s="19" t="str" cm="1">
        <f t="array" ref="C133">_xlfn.IFS(B133&lt;=2,"Urgent",B133&lt;=5,"Normal",B133&gt;5,"No Urgency")</f>
        <v>No Urgency</v>
      </c>
    </row>
    <row r="134" spans="1:3" x14ac:dyDescent="0.3">
      <c r="A134" s="17" t="s">
        <v>335</v>
      </c>
      <c r="B134" s="17">
        <v>2</v>
      </c>
      <c r="C134" s="19" t="str" cm="1">
        <f t="array" ref="C134">_xlfn.IFS(B134&lt;=2,"Urgent",B134&lt;=5,"Normal",B134&gt;5,"No Urgency")</f>
        <v>Urgent</v>
      </c>
    </row>
    <row r="135" spans="1:3" x14ac:dyDescent="0.3">
      <c r="A135" s="17" t="s">
        <v>336</v>
      </c>
      <c r="B135" s="17">
        <v>5</v>
      </c>
      <c r="C135" s="19" t="str" cm="1">
        <f t="array" ref="C135">_xlfn.IFS(B135&lt;=2,"Urgent",B135&lt;=5,"Normal",B135&gt;5,"No Urgency")</f>
        <v>Normal</v>
      </c>
    </row>
    <row r="136" spans="1:3" x14ac:dyDescent="0.3">
      <c r="A136" s="17" t="s">
        <v>337</v>
      </c>
      <c r="B136" s="17">
        <v>2</v>
      </c>
      <c r="C136" s="19" t="str" cm="1">
        <f t="array" ref="C136">_xlfn.IFS(B136&lt;=2,"Urgent",B136&lt;=5,"Normal",B136&gt;5,"No Urgency")</f>
        <v>Urgent</v>
      </c>
    </row>
    <row r="137" spans="1:3" x14ac:dyDescent="0.3">
      <c r="A137" s="17" t="s">
        <v>338</v>
      </c>
      <c r="B137" s="17">
        <v>9</v>
      </c>
      <c r="C137" s="19" t="str" cm="1">
        <f t="array" ref="C137">_xlfn.IFS(B137&lt;=2,"Urgent",B137&lt;=5,"Normal",B137&gt;5,"No Urgency")</f>
        <v>No Urgency</v>
      </c>
    </row>
    <row r="138" spans="1:3" x14ac:dyDescent="0.3">
      <c r="A138" s="17" t="s">
        <v>339</v>
      </c>
      <c r="B138" s="17">
        <v>6</v>
      </c>
      <c r="C138" s="19" t="str" cm="1">
        <f t="array" ref="C138">_xlfn.IFS(B138&lt;=2,"Urgent",B138&lt;=5,"Normal",B138&gt;5,"No Urgency")</f>
        <v>No Urgency</v>
      </c>
    </row>
    <row r="139" spans="1:3" x14ac:dyDescent="0.3">
      <c r="A139" s="17" t="s">
        <v>340</v>
      </c>
      <c r="B139" s="17">
        <v>4</v>
      </c>
      <c r="C139" s="19" t="str" cm="1">
        <f t="array" ref="C139">_xlfn.IFS(B139&lt;=2,"Urgent",B139&lt;=5,"Normal",B139&gt;5,"No Urgency")</f>
        <v>Normal</v>
      </c>
    </row>
    <row r="140" spans="1:3" x14ac:dyDescent="0.3">
      <c r="A140" s="17" t="s">
        <v>341</v>
      </c>
      <c r="B140" s="17">
        <v>1</v>
      </c>
      <c r="C140" s="19" t="str" cm="1">
        <f t="array" ref="C140">_xlfn.IFS(B140&lt;=2,"Urgent",B140&lt;=5,"Normal",B140&gt;5,"No Urgency")</f>
        <v>Urgent</v>
      </c>
    </row>
    <row r="141" spans="1:3" x14ac:dyDescent="0.3">
      <c r="A141" s="17" t="s">
        <v>342</v>
      </c>
      <c r="B141" s="17">
        <v>7</v>
      </c>
      <c r="C141" s="19" t="str" cm="1">
        <f t="array" ref="C141">_xlfn.IFS(B141&lt;=2,"Urgent",B141&lt;=5,"Normal",B141&gt;5,"No Urgency")</f>
        <v>No Urgency</v>
      </c>
    </row>
    <row r="142" spans="1:3" x14ac:dyDescent="0.3">
      <c r="A142" s="17" t="s">
        <v>343</v>
      </c>
      <c r="B142" s="17">
        <v>4</v>
      </c>
      <c r="C142" s="19" t="str" cm="1">
        <f t="array" ref="C142">_xlfn.IFS(B142&lt;=2,"Urgent",B142&lt;=5,"Normal",B142&gt;5,"No Urgency")</f>
        <v>Normal</v>
      </c>
    </row>
    <row r="143" spans="1:3" x14ac:dyDescent="0.3">
      <c r="A143" s="17" t="s">
        <v>344</v>
      </c>
      <c r="B143" s="17">
        <v>5</v>
      </c>
      <c r="C143" s="19" t="str" cm="1">
        <f t="array" ref="C143">_xlfn.IFS(B143&lt;=2,"Urgent",B143&lt;=5,"Normal",B143&gt;5,"No Urgency")</f>
        <v>Normal</v>
      </c>
    </row>
    <row r="144" spans="1:3" x14ac:dyDescent="0.3">
      <c r="A144" s="17" t="s">
        <v>345</v>
      </c>
      <c r="B144" s="17">
        <v>7</v>
      </c>
      <c r="C144" s="19" t="str" cm="1">
        <f t="array" ref="C144">_xlfn.IFS(B144&lt;=2,"Urgent",B144&lt;=5,"Normal",B144&gt;5,"No Urgency")</f>
        <v>No Urgency</v>
      </c>
    </row>
    <row r="145" spans="1:3" x14ac:dyDescent="0.3">
      <c r="A145" s="17" t="s">
        <v>346</v>
      </c>
      <c r="B145" s="17">
        <v>7</v>
      </c>
      <c r="C145" s="19" t="str" cm="1">
        <f t="array" ref="C145">_xlfn.IFS(B145&lt;=2,"Urgent",B145&lt;=5,"Normal",B145&gt;5,"No Urgency")</f>
        <v>No Urgency</v>
      </c>
    </row>
    <row r="146" spans="1:3" x14ac:dyDescent="0.3">
      <c r="A146" s="17" t="s">
        <v>347</v>
      </c>
      <c r="B146" s="17">
        <v>9</v>
      </c>
      <c r="C146" s="19" t="str" cm="1">
        <f t="array" ref="C146">_xlfn.IFS(B146&lt;=2,"Urgent",B146&lt;=5,"Normal",B146&gt;5,"No Urgency")</f>
        <v>No Urgency</v>
      </c>
    </row>
    <row r="147" spans="1:3" x14ac:dyDescent="0.3">
      <c r="A147" s="17" t="s">
        <v>348</v>
      </c>
      <c r="B147" s="17">
        <v>9</v>
      </c>
      <c r="C147" s="19" t="str" cm="1">
        <f t="array" ref="C147">_xlfn.IFS(B147&lt;=2,"Urgent",B147&lt;=5,"Normal",B147&gt;5,"No Urgency")</f>
        <v>No Urgency</v>
      </c>
    </row>
    <row r="148" spans="1:3" x14ac:dyDescent="0.3">
      <c r="A148" s="17" t="s">
        <v>349</v>
      </c>
      <c r="B148" s="17">
        <v>1</v>
      </c>
      <c r="C148" s="19" t="str" cm="1">
        <f t="array" ref="C148">_xlfn.IFS(B148&lt;=2,"Urgent",B148&lt;=5,"Normal",B148&gt;5,"No Urgency")</f>
        <v>Urgent</v>
      </c>
    </row>
    <row r="149" spans="1:3" x14ac:dyDescent="0.3">
      <c r="A149" s="17" t="s">
        <v>350</v>
      </c>
      <c r="B149" s="17">
        <v>8</v>
      </c>
      <c r="C149" s="19" t="str" cm="1">
        <f t="array" ref="C149">_xlfn.IFS(B149&lt;=2,"Urgent",B149&lt;=5,"Normal",B149&gt;5,"No Urgency")</f>
        <v>No Urgency</v>
      </c>
    </row>
    <row r="150" spans="1:3" x14ac:dyDescent="0.3">
      <c r="A150" s="17" t="s">
        <v>351</v>
      </c>
      <c r="B150" s="17">
        <v>8</v>
      </c>
      <c r="C150" s="19" t="str" cm="1">
        <f t="array" ref="C150">_xlfn.IFS(B150&lt;=2,"Urgent",B150&lt;=5,"Normal",B150&gt;5,"No Urgency")</f>
        <v>No Urgency</v>
      </c>
    </row>
    <row r="151" spans="1:3" x14ac:dyDescent="0.3">
      <c r="A151" s="17" t="s">
        <v>352</v>
      </c>
      <c r="B151" s="17">
        <v>10</v>
      </c>
      <c r="C151" s="19" t="str" cm="1">
        <f t="array" ref="C151">_xlfn.IFS(B151&lt;=2,"Urgent",B151&lt;=5,"Normal",B151&gt;5,"No Urgency")</f>
        <v>No Urgency</v>
      </c>
    </row>
  </sheetData>
  <autoFilter ref="A1:C151" xr:uid="{00000000-0001-0000-0A00-000000000000}"/>
  <mergeCells count="2">
    <mergeCell ref="E2:G8"/>
    <mergeCell ref="E12:G1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01E4-EEAC-4265-A601-626022A25F9B}">
  <dimension ref="A1:U436"/>
  <sheetViews>
    <sheetView topLeftCell="C1" workbookViewId="0">
      <pane ySplit="1" topLeftCell="A2" activePane="bottomLeft" state="frozen"/>
      <selection pane="bottomLeft" activeCell="L2" sqref="L2:U18"/>
    </sheetView>
  </sheetViews>
  <sheetFormatPr defaultRowHeight="14.4" x14ac:dyDescent="0.3"/>
  <cols>
    <col min="1" max="1" width="10.44140625" bestFit="1" customWidth="1"/>
    <col min="2" max="2" width="27.109375" bestFit="1" customWidth="1"/>
    <col min="3" max="3" width="15.109375" bestFit="1" customWidth="1"/>
    <col min="4" max="4" width="20.33203125" bestFit="1" customWidth="1"/>
    <col min="5" max="5" width="8.6640625" bestFit="1" customWidth="1"/>
    <col min="6" max="6" width="9.5546875" bestFit="1" customWidth="1"/>
    <col min="7" max="7" width="12.44140625" bestFit="1" customWidth="1"/>
    <col min="8" max="8" width="11" bestFit="1" customWidth="1"/>
    <col min="9" max="9" width="12.88671875" bestFit="1" customWidth="1"/>
    <col min="10" max="10" width="19.33203125" bestFit="1" customWidth="1"/>
    <col min="11" max="11" width="5.88671875" customWidth="1"/>
  </cols>
  <sheetData>
    <row r="1" spans="1:21" ht="15" thickBot="1" x14ac:dyDescent="0.35">
      <c r="A1" s="68" t="s">
        <v>509</v>
      </c>
      <c r="B1" s="69" t="s">
        <v>373</v>
      </c>
      <c r="C1" s="69" t="s">
        <v>374</v>
      </c>
      <c r="D1" s="70" t="s">
        <v>375</v>
      </c>
      <c r="E1" s="69" t="s">
        <v>376</v>
      </c>
      <c r="F1" s="69" t="s">
        <v>377</v>
      </c>
      <c r="G1" s="69" t="s">
        <v>378</v>
      </c>
      <c r="H1" s="69" t="s">
        <v>192</v>
      </c>
      <c r="I1" s="69" t="s">
        <v>379</v>
      </c>
      <c r="J1" s="71" t="s">
        <v>380</v>
      </c>
    </row>
    <row r="2" spans="1:21" x14ac:dyDescent="0.3">
      <c r="A2" s="54" t="s">
        <v>510</v>
      </c>
      <c r="B2" s="20" t="s">
        <v>381</v>
      </c>
      <c r="C2" s="20" t="s">
        <v>382</v>
      </c>
      <c r="D2" s="21">
        <v>45700</v>
      </c>
      <c r="E2" s="20">
        <v>1</v>
      </c>
      <c r="F2" s="20">
        <v>2025</v>
      </c>
      <c r="G2" s="30" t="s">
        <v>619</v>
      </c>
      <c r="H2" s="23" t="s">
        <v>383</v>
      </c>
      <c r="I2" s="20" t="s">
        <v>384</v>
      </c>
      <c r="J2" s="67" t="s">
        <v>385</v>
      </c>
      <c r="L2" s="98" t="s">
        <v>734</v>
      </c>
      <c r="M2" s="99"/>
      <c r="N2" s="99"/>
      <c r="O2" s="99"/>
      <c r="P2" s="99"/>
      <c r="Q2" s="99"/>
      <c r="R2" s="99"/>
      <c r="S2" s="99"/>
      <c r="T2" s="99"/>
      <c r="U2" s="100"/>
    </row>
    <row r="3" spans="1:21" x14ac:dyDescent="0.3">
      <c r="A3" s="54" t="s">
        <v>511</v>
      </c>
      <c r="B3" s="20" t="s">
        <v>388</v>
      </c>
      <c r="C3" s="20" t="s">
        <v>386</v>
      </c>
      <c r="D3" s="21">
        <v>45700</v>
      </c>
      <c r="E3" s="20">
        <v>1</v>
      </c>
      <c r="F3" s="20">
        <v>2025</v>
      </c>
      <c r="G3" s="23" t="s">
        <v>619</v>
      </c>
      <c r="H3" s="23" t="s">
        <v>383</v>
      </c>
      <c r="I3" s="20" t="s">
        <v>384</v>
      </c>
      <c r="J3" s="67" t="s">
        <v>387</v>
      </c>
      <c r="L3" s="101"/>
      <c r="M3" s="102"/>
      <c r="N3" s="102"/>
      <c r="O3" s="102"/>
      <c r="P3" s="102"/>
      <c r="Q3" s="102"/>
      <c r="R3" s="102"/>
      <c r="S3" s="102"/>
      <c r="T3" s="102"/>
      <c r="U3" s="103"/>
    </row>
    <row r="4" spans="1:21" x14ac:dyDescent="0.3">
      <c r="A4" s="54" t="s">
        <v>512</v>
      </c>
      <c r="B4" s="20" t="s">
        <v>389</v>
      </c>
      <c r="C4" s="20" t="s">
        <v>382</v>
      </c>
      <c r="D4" s="21">
        <v>45701</v>
      </c>
      <c r="E4" s="20">
        <v>1</v>
      </c>
      <c r="F4" s="20">
        <v>2025</v>
      </c>
      <c r="G4" s="23" t="s">
        <v>619</v>
      </c>
      <c r="H4" s="23" t="s">
        <v>383</v>
      </c>
      <c r="I4" s="20" t="s">
        <v>384</v>
      </c>
      <c r="J4" s="67" t="s">
        <v>390</v>
      </c>
      <c r="L4" s="101"/>
      <c r="M4" s="102"/>
      <c r="N4" s="102"/>
      <c r="O4" s="102"/>
      <c r="P4" s="102"/>
      <c r="Q4" s="102"/>
      <c r="R4" s="102"/>
      <c r="S4" s="102"/>
      <c r="T4" s="102"/>
      <c r="U4" s="103"/>
    </row>
    <row r="5" spans="1:21" x14ac:dyDescent="0.3">
      <c r="A5" s="54" t="s">
        <v>513</v>
      </c>
      <c r="B5" s="20" t="s">
        <v>391</v>
      </c>
      <c r="C5" s="20" t="s">
        <v>382</v>
      </c>
      <c r="D5" s="21">
        <v>45701</v>
      </c>
      <c r="E5" s="20">
        <v>1</v>
      </c>
      <c r="F5" s="20">
        <v>2025</v>
      </c>
      <c r="G5" s="23" t="s">
        <v>619</v>
      </c>
      <c r="H5" s="23" t="s">
        <v>383</v>
      </c>
      <c r="I5" s="20" t="s">
        <v>384</v>
      </c>
      <c r="J5" s="67" t="s">
        <v>387</v>
      </c>
      <c r="L5" s="101"/>
      <c r="M5" s="102"/>
      <c r="N5" s="102"/>
      <c r="O5" s="102"/>
      <c r="P5" s="102"/>
      <c r="Q5" s="102"/>
      <c r="R5" s="102"/>
      <c r="S5" s="102"/>
      <c r="T5" s="102"/>
      <c r="U5" s="103"/>
    </row>
    <row r="6" spans="1:21" x14ac:dyDescent="0.3">
      <c r="A6" s="54" t="s">
        <v>511</v>
      </c>
      <c r="B6" s="20" t="s">
        <v>388</v>
      </c>
      <c r="C6" s="20" t="s">
        <v>382</v>
      </c>
      <c r="D6" s="21">
        <v>45701</v>
      </c>
      <c r="E6" s="20">
        <v>1</v>
      </c>
      <c r="F6" s="20">
        <v>2025</v>
      </c>
      <c r="G6" s="23" t="s">
        <v>619</v>
      </c>
      <c r="H6" s="23" t="s">
        <v>383</v>
      </c>
      <c r="I6" s="20" t="s">
        <v>384</v>
      </c>
      <c r="J6" s="67" t="s">
        <v>387</v>
      </c>
      <c r="L6" s="101"/>
      <c r="M6" s="102"/>
      <c r="N6" s="102"/>
      <c r="O6" s="102"/>
      <c r="P6" s="102"/>
      <c r="Q6" s="102"/>
      <c r="R6" s="102"/>
      <c r="S6" s="102"/>
      <c r="T6" s="102"/>
      <c r="U6" s="103"/>
    </row>
    <row r="7" spans="1:21" x14ac:dyDescent="0.3">
      <c r="A7" s="54" t="s">
        <v>514</v>
      </c>
      <c r="B7" s="20" t="s">
        <v>392</v>
      </c>
      <c r="C7" s="20" t="s">
        <v>382</v>
      </c>
      <c r="D7" s="21">
        <v>45701</v>
      </c>
      <c r="E7" s="20">
        <v>1</v>
      </c>
      <c r="F7" s="20">
        <v>2025</v>
      </c>
      <c r="G7" s="4" t="s">
        <v>621</v>
      </c>
      <c r="H7" s="23" t="s">
        <v>383</v>
      </c>
      <c r="I7" s="20" t="s">
        <v>384</v>
      </c>
      <c r="J7" s="67" t="s">
        <v>387</v>
      </c>
      <c r="L7" s="101"/>
      <c r="M7" s="102"/>
      <c r="N7" s="102"/>
      <c r="O7" s="102"/>
      <c r="P7" s="102"/>
      <c r="Q7" s="102"/>
      <c r="R7" s="102"/>
      <c r="S7" s="102"/>
      <c r="T7" s="102"/>
      <c r="U7" s="103"/>
    </row>
    <row r="8" spans="1:21" x14ac:dyDescent="0.3">
      <c r="A8" s="54" t="s">
        <v>515</v>
      </c>
      <c r="B8" s="20" t="s">
        <v>393</v>
      </c>
      <c r="C8" s="20" t="s">
        <v>382</v>
      </c>
      <c r="D8" s="21">
        <v>45701</v>
      </c>
      <c r="E8" s="20">
        <v>1</v>
      </c>
      <c r="F8" s="20">
        <v>2025</v>
      </c>
      <c r="G8" s="4" t="s">
        <v>621</v>
      </c>
      <c r="H8" s="23" t="s">
        <v>383</v>
      </c>
      <c r="I8" s="20" t="s">
        <v>384</v>
      </c>
      <c r="J8" s="67" t="s">
        <v>387</v>
      </c>
      <c r="L8" s="101"/>
      <c r="M8" s="102"/>
      <c r="N8" s="102"/>
      <c r="O8" s="102"/>
      <c r="P8" s="102"/>
      <c r="Q8" s="102"/>
      <c r="R8" s="102"/>
      <c r="S8" s="102"/>
      <c r="T8" s="102"/>
      <c r="U8" s="103"/>
    </row>
    <row r="9" spans="1:21" x14ac:dyDescent="0.3">
      <c r="A9" s="54" t="s">
        <v>516</v>
      </c>
      <c r="B9" s="20" t="s">
        <v>394</v>
      </c>
      <c r="C9" s="20" t="s">
        <v>382</v>
      </c>
      <c r="D9" s="21">
        <v>45701</v>
      </c>
      <c r="E9" s="20">
        <v>1</v>
      </c>
      <c r="F9" s="20">
        <v>2025</v>
      </c>
      <c r="G9" s="4" t="s">
        <v>621</v>
      </c>
      <c r="H9" s="23" t="s">
        <v>383</v>
      </c>
      <c r="I9" s="20" t="s">
        <v>384</v>
      </c>
      <c r="J9" s="67" t="s">
        <v>387</v>
      </c>
      <c r="L9" s="101"/>
      <c r="M9" s="102"/>
      <c r="N9" s="102"/>
      <c r="O9" s="102"/>
      <c r="P9" s="102"/>
      <c r="Q9" s="102"/>
      <c r="R9" s="102"/>
      <c r="S9" s="102"/>
      <c r="T9" s="102"/>
      <c r="U9" s="103"/>
    </row>
    <row r="10" spans="1:21" x14ac:dyDescent="0.3">
      <c r="A10" s="54" t="s">
        <v>517</v>
      </c>
      <c r="B10" s="20" t="s">
        <v>395</v>
      </c>
      <c r="C10" s="20" t="s">
        <v>382</v>
      </c>
      <c r="D10" s="21">
        <v>45701</v>
      </c>
      <c r="E10" s="20">
        <v>1</v>
      </c>
      <c r="F10" s="20">
        <v>2025</v>
      </c>
      <c r="G10" s="4" t="s">
        <v>621</v>
      </c>
      <c r="H10" s="23" t="s">
        <v>383</v>
      </c>
      <c r="I10" s="20" t="s">
        <v>384</v>
      </c>
      <c r="J10" s="67" t="s">
        <v>387</v>
      </c>
      <c r="L10" s="101"/>
      <c r="M10" s="102"/>
      <c r="N10" s="102"/>
      <c r="O10" s="102"/>
      <c r="P10" s="102"/>
      <c r="Q10" s="102"/>
      <c r="R10" s="102"/>
      <c r="S10" s="102"/>
      <c r="T10" s="102"/>
      <c r="U10" s="103"/>
    </row>
    <row r="11" spans="1:21" x14ac:dyDescent="0.3">
      <c r="A11" s="54" t="s">
        <v>518</v>
      </c>
      <c r="B11" s="20" t="s">
        <v>396</v>
      </c>
      <c r="C11" s="20" t="s">
        <v>382</v>
      </c>
      <c r="D11" s="21">
        <v>45701</v>
      </c>
      <c r="E11" s="20">
        <v>1</v>
      </c>
      <c r="F11" s="20">
        <v>2025</v>
      </c>
      <c r="G11" s="30" t="s">
        <v>619</v>
      </c>
      <c r="H11" s="23" t="s">
        <v>383</v>
      </c>
      <c r="I11" s="20" t="s">
        <v>384</v>
      </c>
      <c r="J11" s="67" t="s">
        <v>387</v>
      </c>
      <c r="L11" s="101"/>
      <c r="M11" s="102"/>
      <c r="N11" s="102"/>
      <c r="O11" s="102"/>
      <c r="P11" s="102"/>
      <c r="Q11" s="102"/>
      <c r="R11" s="102"/>
      <c r="S11" s="102"/>
      <c r="T11" s="102"/>
      <c r="U11" s="103"/>
    </row>
    <row r="12" spans="1:21" x14ac:dyDescent="0.3">
      <c r="A12" s="54" t="s">
        <v>519</v>
      </c>
      <c r="B12" s="20" t="s">
        <v>397</v>
      </c>
      <c r="C12" s="20" t="s">
        <v>382</v>
      </c>
      <c r="D12" s="21">
        <v>45701</v>
      </c>
      <c r="E12" s="20">
        <v>1</v>
      </c>
      <c r="F12" s="20">
        <v>2025</v>
      </c>
      <c r="G12" s="23" t="s">
        <v>619</v>
      </c>
      <c r="H12" s="23" t="s">
        <v>383</v>
      </c>
      <c r="I12" s="20" t="s">
        <v>384</v>
      </c>
      <c r="J12" s="67" t="s">
        <v>387</v>
      </c>
      <c r="L12" s="101"/>
      <c r="M12" s="102"/>
      <c r="N12" s="102"/>
      <c r="O12" s="102"/>
      <c r="P12" s="102"/>
      <c r="Q12" s="102"/>
      <c r="R12" s="102"/>
      <c r="S12" s="102"/>
      <c r="T12" s="102"/>
      <c r="U12" s="103"/>
    </row>
    <row r="13" spans="1:21" x14ac:dyDescent="0.3">
      <c r="A13" s="54" t="s">
        <v>520</v>
      </c>
      <c r="B13" s="20" t="s">
        <v>398</v>
      </c>
      <c r="C13" s="20" t="s">
        <v>382</v>
      </c>
      <c r="D13" s="21">
        <v>45701</v>
      </c>
      <c r="E13" s="20">
        <v>1</v>
      </c>
      <c r="F13" s="20">
        <v>2025</v>
      </c>
      <c r="G13" s="4" t="s">
        <v>621</v>
      </c>
      <c r="H13" s="23" t="s">
        <v>383</v>
      </c>
      <c r="I13" s="20" t="s">
        <v>384</v>
      </c>
      <c r="J13" s="67" t="s">
        <v>387</v>
      </c>
      <c r="L13" s="101"/>
      <c r="M13" s="102"/>
      <c r="N13" s="102"/>
      <c r="O13" s="102"/>
      <c r="P13" s="102"/>
      <c r="Q13" s="102"/>
      <c r="R13" s="102"/>
      <c r="S13" s="102"/>
      <c r="T13" s="102"/>
      <c r="U13" s="103"/>
    </row>
    <row r="14" spans="1:21" x14ac:dyDescent="0.3">
      <c r="A14" s="54" t="s">
        <v>521</v>
      </c>
      <c r="B14" s="20" t="s">
        <v>399</v>
      </c>
      <c r="C14" s="20" t="s">
        <v>382</v>
      </c>
      <c r="D14" s="21">
        <v>45701</v>
      </c>
      <c r="E14" s="20">
        <v>1</v>
      </c>
      <c r="F14" s="20">
        <v>2025</v>
      </c>
      <c r="G14" s="4" t="s">
        <v>621</v>
      </c>
      <c r="H14" s="23" t="s">
        <v>383</v>
      </c>
      <c r="I14" s="20" t="s">
        <v>384</v>
      </c>
      <c r="J14" s="67" t="s">
        <v>387</v>
      </c>
      <c r="L14" s="101"/>
      <c r="M14" s="102"/>
      <c r="N14" s="102"/>
      <c r="O14" s="102"/>
      <c r="P14" s="102"/>
      <c r="Q14" s="102"/>
      <c r="R14" s="102"/>
      <c r="S14" s="102"/>
      <c r="T14" s="102"/>
      <c r="U14" s="103"/>
    </row>
    <row r="15" spans="1:21" x14ac:dyDescent="0.3">
      <c r="A15" s="54" t="s">
        <v>522</v>
      </c>
      <c r="B15" s="20" t="s">
        <v>400</v>
      </c>
      <c r="C15" s="20" t="s">
        <v>382</v>
      </c>
      <c r="D15" s="21">
        <v>45701</v>
      </c>
      <c r="E15" s="20">
        <v>1</v>
      </c>
      <c r="F15" s="20">
        <v>2025</v>
      </c>
      <c r="G15" s="30" t="s">
        <v>619</v>
      </c>
      <c r="H15" s="23" t="s">
        <v>383</v>
      </c>
      <c r="I15" s="20" t="s">
        <v>384</v>
      </c>
      <c r="J15" s="67" t="s">
        <v>387</v>
      </c>
      <c r="L15" s="101"/>
      <c r="M15" s="102"/>
      <c r="N15" s="102"/>
      <c r="O15" s="102"/>
      <c r="P15" s="102"/>
      <c r="Q15" s="102"/>
      <c r="R15" s="102"/>
      <c r="S15" s="102"/>
      <c r="T15" s="102"/>
      <c r="U15" s="103"/>
    </row>
    <row r="16" spans="1:21" x14ac:dyDescent="0.3">
      <c r="A16" s="54" t="s">
        <v>523</v>
      </c>
      <c r="B16" s="20" t="s">
        <v>401</v>
      </c>
      <c r="C16" s="20" t="s">
        <v>382</v>
      </c>
      <c r="D16" s="21">
        <v>45701</v>
      </c>
      <c r="E16" s="20">
        <v>1</v>
      </c>
      <c r="F16" s="20">
        <v>2025</v>
      </c>
      <c r="G16" s="4" t="s">
        <v>621</v>
      </c>
      <c r="H16" s="23" t="s">
        <v>383</v>
      </c>
      <c r="I16" s="20" t="s">
        <v>384</v>
      </c>
      <c r="J16" s="67" t="s">
        <v>387</v>
      </c>
      <c r="L16" s="101"/>
      <c r="M16" s="102"/>
      <c r="N16" s="102"/>
      <c r="O16" s="102"/>
      <c r="P16" s="102"/>
      <c r="Q16" s="102"/>
      <c r="R16" s="102"/>
      <c r="S16" s="102"/>
      <c r="T16" s="102"/>
      <c r="U16" s="103"/>
    </row>
    <row r="17" spans="1:21" x14ac:dyDescent="0.3">
      <c r="A17" s="54" t="s">
        <v>524</v>
      </c>
      <c r="B17" s="20" t="s">
        <v>402</v>
      </c>
      <c r="C17" s="20" t="s">
        <v>382</v>
      </c>
      <c r="D17" s="21">
        <v>45701</v>
      </c>
      <c r="E17" s="20">
        <v>1</v>
      </c>
      <c r="F17" s="20">
        <v>2025</v>
      </c>
      <c r="G17" s="4" t="s">
        <v>621</v>
      </c>
      <c r="H17" s="23" t="s">
        <v>383</v>
      </c>
      <c r="I17" s="20" t="s">
        <v>384</v>
      </c>
      <c r="J17" s="67" t="s">
        <v>387</v>
      </c>
      <c r="L17" s="101"/>
      <c r="M17" s="102"/>
      <c r="N17" s="102"/>
      <c r="O17" s="102"/>
      <c r="P17" s="102"/>
      <c r="Q17" s="102"/>
      <c r="R17" s="102"/>
      <c r="S17" s="102"/>
      <c r="T17" s="102"/>
      <c r="U17" s="103"/>
    </row>
    <row r="18" spans="1:21" ht="15" thickBot="1" x14ac:dyDescent="0.35">
      <c r="A18" s="54" t="s">
        <v>525</v>
      </c>
      <c r="B18" s="20" t="s">
        <v>403</v>
      </c>
      <c r="C18" s="20" t="s">
        <v>382</v>
      </c>
      <c r="D18" s="21">
        <v>45701</v>
      </c>
      <c r="E18" s="20">
        <v>1</v>
      </c>
      <c r="F18" s="20">
        <v>2025</v>
      </c>
      <c r="G18" s="4" t="s">
        <v>621</v>
      </c>
      <c r="H18" s="23" t="s">
        <v>383</v>
      </c>
      <c r="I18" s="20" t="s">
        <v>384</v>
      </c>
      <c r="J18" s="67" t="s">
        <v>387</v>
      </c>
      <c r="L18" s="104"/>
      <c r="M18" s="105"/>
      <c r="N18" s="105"/>
      <c r="O18" s="105"/>
      <c r="P18" s="105"/>
      <c r="Q18" s="105"/>
      <c r="R18" s="105"/>
      <c r="S18" s="105"/>
      <c r="T18" s="105"/>
      <c r="U18" s="106"/>
    </row>
    <row r="19" spans="1:21" x14ac:dyDescent="0.3">
      <c r="A19" s="54" t="s">
        <v>526</v>
      </c>
      <c r="B19" s="20" t="s">
        <v>404</v>
      </c>
      <c r="C19" s="20" t="s">
        <v>382</v>
      </c>
      <c r="D19" s="21">
        <v>45701</v>
      </c>
      <c r="E19" s="20">
        <v>1</v>
      </c>
      <c r="F19" s="20">
        <v>2025</v>
      </c>
      <c r="G19" s="4" t="s">
        <v>621</v>
      </c>
      <c r="H19" s="23" t="s">
        <v>383</v>
      </c>
      <c r="I19" s="20" t="s">
        <v>384</v>
      </c>
      <c r="J19" s="67" t="s">
        <v>387</v>
      </c>
    </row>
    <row r="20" spans="1:21" x14ac:dyDescent="0.3">
      <c r="A20" s="54" t="s">
        <v>527</v>
      </c>
      <c r="B20" s="20" t="s">
        <v>405</v>
      </c>
      <c r="C20" s="20" t="s">
        <v>382</v>
      </c>
      <c r="D20" s="21">
        <v>45701</v>
      </c>
      <c r="E20" s="20">
        <v>1</v>
      </c>
      <c r="F20" s="20">
        <v>2025</v>
      </c>
      <c r="G20" s="4" t="s">
        <v>621</v>
      </c>
      <c r="H20" s="23" t="s">
        <v>383</v>
      </c>
      <c r="I20" s="20" t="s">
        <v>384</v>
      </c>
      <c r="J20" s="67" t="s">
        <v>387</v>
      </c>
    </row>
    <row r="21" spans="1:21" x14ac:dyDescent="0.3">
      <c r="A21" s="54" t="s">
        <v>528</v>
      </c>
      <c r="B21" s="20" t="s">
        <v>406</v>
      </c>
      <c r="C21" s="20" t="s">
        <v>382</v>
      </c>
      <c r="D21" s="21">
        <v>45701</v>
      </c>
      <c r="E21" s="20">
        <v>1</v>
      </c>
      <c r="F21" s="20">
        <v>2025</v>
      </c>
      <c r="G21" s="4" t="s">
        <v>621</v>
      </c>
      <c r="H21" s="23" t="s">
        <v>383</v>
      </c>
      <c r="I21" s="20" t="s">
        <v>384</v>
      </c>
      <c r="J21" s="67" t="s">
        <v>387</v>
      </c>
    </row>
    <row r="22" spans="1:21" x14ac:dyDescent="0.3">
      <c r="A22" s="54" t="s">
        <v>529</v>
      </c>
      <c r="B22" s="20" t="s">
        <v>407</v>
      </c>
      <c r="C22" s="20" t="s">
        <v>382</v>
      </c>
      <c r="D22" s="21">
        <v>45703</v>
      </c>
      <c r="E22" s="20">
        <v>1</v>
      </c>
      <c r="F22" s="20">
        <v>2025</v>
      </c>
      <c r="G22" s="30" t="s">
        <v>619</v>
      </c>
      <c r="H22" s="23" t="s">
        <v>383</v>
      </c>
      <c r="I22" s="20" t="s">
        <v>384</v>
      </c>
      <c r="J22" s="67" t="s">
        <v>390</v>
      </c>
    </row>
    <row r="23" spans="1:21" x14ac:dyDescent="0.3">
      <c r="A23" s="54" t="s">
        <v>530</v>
      </c>
      <c r="B23" s="20" t="s">
        <v>408</v>
      </c>
      <c r="C23" s="20" t="s">
        <v>382</v>
      </c>
      <c r="D23" s="21">
        <v>45703</v>
      </c>
      <c r="E23" s="20">
        <v>1</v>
      </c>
      <c r="F23" s="20">
        <v>2025</v>
      </c>
      <c r="G23" s="4" t="s">
        <v>621</v>
      </c>
      <c r="H23" s="23" t="s">
        <v>383</v>
      </c>
      <c r="I23" s="20" t="s">
        <v>384</v>
      </c>
      <c r="J23" s="67" t="s">
        <v>390</v>
      </c>
    </row>
    <row r="24" spans="1:21" x14ac:dyDescent="0.3">
      <c r="A24" s="54" t="s">
        <v>531</v>
      </c>
      <c r="B24" s="20" t="s">
        <v>409</v>
      </c>
      <c r="C24" s="20" t="s">
        <v>382</v>
      </c>
      <c r="D24" s="21">
        <v>45703</v>
      </c>
      <c r="E24" s="20">
        <v>1</v>
      </c>
      <c r="F24" s="20">
        <v>2025</v>
      </c>
      <c r="G24" s="4" t="s">
        <v>621</v>
      </c>
      <c r="H24" s="23" t="s">
        <v>383</v>
      </c>
      <c r="I24" s="20" t="s">
        <v>384</v>
      </c>
      <c r="J24" s="67" t="s">
        <v>390</v>
      </c>
    </row>
    <row r="25" spans="1:21" x14ac:dyDescent="0.3">
      <c r="A25" s="54" t="s">
        <v>532</v>
      </c>
      <c r="B25" s="20" t="s">
        <v>410</v>
      </c>
      <c r="C25" s="20" t="s">
        <v>382</v>
      </c>
      <c r="D25" s="21">
        <v>45703</v>
      </c>
      <c r="E25" s="20">
        <v>1</v>
      </c>
      <c r="F25" s="20">
        <v>2025</v>
      </c>
      <c r="G25" s="4" t="s">
        <v>621</v>
      </c>
      <c r="H25" s="23" t="s">
        <v>383</v>
      </c>
      <c r="I25" s="20" t="s">
        <v>384</v>
      </c>
      <c r="J25" s="67" t="s">
        <v>390</v>
      </c>
    </row>
    <row r="26" spans="1:21" x14ac:dyDescent="0.3">
      <c r="A26" s="54" t="s">
        <v>533</v>
      </c>
      <c r="B26" s="20" t="s">
        <v>411</v>
      </c>
      <c r="C26" s="20" t="s">
        <v>382</v>
      </c>
      <c r="D26" s="21">
        <v>45703</v>
      </c>
      <c r="E26" s="20">
        <v>1</v>
      </c>
      <c r="F26" s="20">
        <v>2025</v>
      </c>
      <c r="G26" s="4" t="s">
        <v>621</v>
      </c>
      <c r="H26" s="23" t="s">
        <v>383</v>
      </c>
      <c r="I26" s="20" t="s">
        <v>384</v>
      </c>
      <c r="J26" s="67" t="s">
        <v>390</v>
      </c>
    </row>
    <row r="27" spans="1:21" x14ac:dyDescent="0.3">
      <c r="A27" s="54" t="s">
        <v>534</v>
      </c>
      <c r="B27" s="20" t="s">
        <v>412</v>
      </c>
      <c r="C27" s="20" t="s">
        <v>382</v>
      </c>
      <c r="D27" s="21">
        <v>45703</v>
      </c>
      <c r="E27" s="20">
        <v>1</v>
      </c>
      <c r="F27" s="20">
        <v>2025</v>
      </c>
      <c r="G27" s="30" t="s">
        <v>619</v>
      </c>
      <c r="H27" s="23" t="s">
        <v>383</v>
      </c>
      <c r="I27" s="20" t="s">
        <v>384</v>
      </c>
      <c r="J27" s="67" t="s">
        <v>387</v>
      </c>
    </row>
    <row r="28" spans="1:21" x14ac:dyDescent="0.3">
      <c r="A28" s="54" t="s">
        <v>535</v>
      </c>
      <c r="B28" s="20" t="s">
        <v>413</v>
      </c>
      <c r="C28" s="20" t="s">
        <v>382</v>
      </c>
      <c r="D28" s="21">
        <v>45703</v>
      </c>
      <c r="E28" s="20">
        <v>1</v>
      </c>
      <c r="F28" s="20">
        <v>2025</v>
      </c>
      <c r="G28" s="4" t="s">
        <v>621</v>
      </c>
      <c r="H28" s="23" t="s">
        <v>383</v>
      </c>
      <c r="I28" s="20" t="s">
        <v>384</v>
      </c>
      <c r="J28" s="67" t="s">
        <v>387</v>
      </c>
    </row>
    <row r="29" spans="1:21" x14ac:dyDescent="0.3">
      <c r="A29" s="54" t="s">
        <v>536</v>
      </c>
      <c r="B29" s="20" t="s">
        <v>414</v>
      </c>
      <c r="C29" s="20" t="s">
        <v>382</v>
      </c>
      <c r="D29" s="21">
        <v>45703</v>
      </c>
      <c r="E29" s="20">
        <v>1</v>
      </c>
      <c r="F29" s="20">
        <v>2025</v>
      </c>
      <c r="G29" s="4" t="s">
        <v>621</v>
      </c>
      <c r="H29" s="23" t="s">
        <v>383</v>
      </c>
      <c r="I29" s="20" t="s">
        <v>384</v>
      </c>
      <c r="J29" s="67" t="s">
        <v>387</v>
      </c>
    </row>
    <row r="30" spans="1:21" x14ac:dyDescent="0.3">
      <c r="A30" s="54" t="s">
        <v>537</v>
      </c>
      <c r="B30" s="20" t="s">
        <v>415</v>
      </c>
      <c r="C30" s="20" t="s">
        <v>382</v>
      </c>
      <c r="D30" s="21">
        <v>45703</v>
      </c>
      <c r="E30" s="20">
        <v>1</v>
      </c>
      <c r="F30" s="20">
        <v>2025</v>
      </c>
      <c r="G30" s="4" t="s">
        <v>621</v>
      </c>
      <c r="H30" s="23" t="s">
        <v>383</v>
      </c>
      <c r="I30" s="20" t="s">
        <v>384</v>
      </c>
      <c r="J30" s="67" t="s">
        <v>387</v>
      </c>
    </row>
    <row r="31" spans="1:21" x14ac:dyDescent="0.3">
      <c r="A31" s="54" t="s">
        <v>538</v>
      </c>
      <c r="B31" s="20" t="s">
        <v>416</v>
      </c>
      <c r="C31" s="20" t="s">
        <v>382</v>
      </c>
      <c r="D31" s="21">
        <v>45703</v>
      </c>
      <c r="E31" s="20">
        <v>1</v>
      </c>
      <c r="F31" s="20">
        <v>2025</v>
      </c>
      <c r="G31" s="4" t="s">
        <v>621</v>
      </c>
      <c r="H31" s="23" t="s">
        <v>383</v>
      </c>
      <c r="I31" s="20" t="s">
        <v>384</v>
      </c>
      <c r="J31" s="67" t="s">
        <v>387</v>
      </c>
    </row>
    <row r="32" spans="1:21" x14ac:dyDescent="0.3">
      <c r="A32" s="54" t="s">
        <v>539</v>
      </c>
      <c r="B32" s="20" t="s">
        <v>417</v>
      </c>
      <c r="C32" s="20" t="s">
        <v>382</v>
      </c>
      <c r="D32" s="21">
        <v>45703</v>
      </c>
      <c r="E32" s="20">
        <v>1</v>
      </c>
      <c r="F32" s="20">
        <v>2025</v>
      </c>
      <c r="G32" s="4" t="s">
        <v>621</v>
      </c>
      <c r="H32" s="23" t="s">
        <v>383</v>
      </c>
      <c r="I32" s="20" t="s">
        <v>384</v>
      </c>
      <c r="J32" s="67" t="s">
        <v>387</v>
      </c>
    </row>
    <row r="33" spans="1:10" x14ac:dyDescent="0.3">
      <c r="A33" s="54" t="s">
        <v>540</v>
      </c>
      <c r="B33" s="20" t="s">
        <v>418</v>
      </c>
      <c r="C33" s="20" t="s">
        <v>382</v>
      </c>
      <c r="D33" s="21">
        <v>45703</v>
      </c>
      <c r="E33" s="20">
        <v>1</v>
      </c>
      <c r="F33" s="20">
        <v>2025</v>
      </c>
      <c r="G33" s="4" t="s">
        <v>621</v>
      </c>
      <c r="H33" s="23" t="s">
        <v>383</v>
      </c>
      <c r="I33" s="20" t="s">
        <v>384</v>
      </c>
      <c r="J33" s="67" t="s">
        <v>387</v>
      </c>
    </row>
    <row r="34" spans="1:10" x14ac:dyDescent="0.3">
      <c r="A34" s="54" t="s">
        <v>541</v>
      </c>
      <c r="B34" s="20" t="s">
        <v>419</v>
      </c>
      <c r="C34" s="20" t="s">
        <v>382</v>
      </c>
      <c r="D34" s="21">
        <v>45703</v>
      </c>
      <c r="E34" s="20">
        <v>1</v>
      </c>
      <c r="F34" s="20">
        <v>2025</v>
      </c>
      <c r="G34" s="30" t="s">
        <v>619</v>
      </c>
      <c r="H34" s="23" t="s">
        <v>383</v>
      </c>
      <c r="I34" s="20" t="s">
        <v>384</v>
      </c>
      <c r="J34" s="67" t="s">
        <v>390</v>
      </c>
    </row>
    <row r="35" spans="1:10" x14ac:dyDescent="0.3">
      <c r="A35" s="54" t="s">
        <v>542</v>
      </c>
      <c r="B35" s="20" t="s">
        <v>420</v>
      </c>
      <c r="C35" s="20" t="s">
        <v>382</v>
      </c>
      <c r="D35" s="21">
        <v>45703</v>
      </c>
      <c r="E35" s="20">
        <v>1</v>
      </c>
      <c r="F35" s="20">
        <v>2025</v>
      </c>
      <c r="G35" s="23" t="s">
        <v>619</v>
      </c>
      <c r="H35" s="23" t="s">
        <v>383</v>
      </c>
      <c r="I35" s="20" t="s">
        <v>384</v>
      </c>
      <c r="J35" s="67" t="s">
        <v>390</v>
      </c>
    </row>
    <row r="36" spans="1:10" x14ac:dyDescent="0.3">
      <c r="A36" s="54" t="s">
        <v>543</v>
      </c>
      <c r="B36" s="20" t="s">
        <v>421</v>
      </c>
      <c r="C36" s="20" t="s">
        <v>382</v>
      </c>
      <c r="D36" s="21">
        <v>45703</v>
      </c>
      <c r="E36" s="20">
        <v>1</v>
      </c>
      <c r="F36" s="20">
        <v>2025</v>
      </c>
      <c r="G36" s="23" t="s">
        <v>619</v>
      </c>
      <c r="H36" s="23" t="s">
        <v>383</v>
      </c>
      <c r="I36" s="20" t="s">
        <v>384</v>
      </c>
      <c r="J36" s="67" t="s">
        <v>390</v>
      </c>
    </row>
    <row r="37" spans="1:10" x14ac:dyDescent="0.3">
      <c r="A37" s="54" t="s">
        <v>544</v>
      </c>
      <c r="B37" s="20" t="s">
        <v>422</v>
      </c>
      <c r="C37" s="20" t="s">
        <v>382</v>
      </c>
      <c r="D37" s="21">
        <v>45703</v>
      </c>
      <c r="E37" s="20">
        <v>1</v>
      </c>
      <c r="F37" s="20">
        <v>2025</v>
      </c>
      <c r="G37" s="4" t="s">
        <v>621</v>
      </c>
      <c r="H37" s="23" t="s">
        <v>383</v>
      </c>
      <c r="I37" s="20" t="s">
        <v>384</v>
      </c>
      <c r="J37" s="67" t="s">
        <v>390</v>
      </c>
    </row>
    <row r="38" spans="1:10" x14ac:dyDescent="0.3">
      <c r="A38" s="54" t="s">
        <v>545</v>
      </c>
      <c r="B38" s="20" t="s">
        <v>423</v>
      </c>
      <c r="C38" s="20" t="s">
        <v>382</v>
      </c>
      <c r="D38" s="21">
        <v>45703</v>
      </c>
      <c r="E38" s="20">
        <v>1</v>
      </c>
      <c r="F38" s="20">
        <v>2025</v>
      </c>
      <c r="G38" s="4" t="s">
        <v>621</v>
      </c>
      <c r="H38" s="23" t="s">
        <v>383</v>
      </c>
      <c r="I38" s="20" t="s">
        <v>384</v>
      </c>
      <c r="J38" s="67" t="s">
        <v>390</v>
      </c>
    </row>
    <row r="39" spans="1:10" x14ac:dyDescent="0.3">
      <c r="A39" s="54" t="s">
        <v>546</v>
      </c>
      <c r="B39" s="20" t="s">
        <v>424</v>
      </c>
      <c r="C39" s="20" t="s">
        <v>382</v>
      </c>
      <c r="D39" s="21">
        <v>45703</v>
      </c>
      <c r="E39" s="20">
        <v>1</v>
      </c>
      <c r="F39" s="20">
        <v>2025</v>
      </c>
      <c r="G39" s="4" t="s">
        <v>621</v>
      </c>
      <c r="H39" s="23" t="s">
        <v>383</v>
      </c>
      <c r="I39" s="20" t="s">
        <v>384</v>
      </c>
      <c r="J39" s="67" t="s">
        <v>390</v>
      </c>
    </row>
    <row r="40" spans="1:10" x14ac:dyDescent="0.3">
      <c r="A40" s="54" t="s">
        <v>547</v>
      </c>
      <c r="B40" s="20" t="s">
        <v>425</v>
      </c>
      <c r="C40" s="20" t="s">
        <v>382</v>
      </c>
      <c r="D40" s="21">
        <v>45703</v>
      </c>
      <c r="E40" s="20">
        <v>1</v>
      </c>
      <c r="F40" s="20">
        <v>2025</v>
      </c>
      <c r="G40" s="4" t="s">
        <v>621</v>
      </c>
      <c r="H40" s="23" t="s">
        <v>383</v>
      </c>
      <c r="I40" s="20" t="s">
        <v>384</v>
      </c>
      <c r="J40" s="67" t="s">
        <v>390</v>
      </c>
    </row>
    <row r="41" spans="1:10" x14ac:dyDescent="0.3">
      <c r="A41" s="54" t="s">
        <v>548</v>
      </c>
      <c r="B41" s="20" t="s">
        <v>426</v>
      </c>
      <c r="C41" s="20" t="s">
        <v>382</v>
      </c>
      <c r="D41" s="21">
        <v>45703</v>
      </c>
      <c r="E41" s="20">
        <v>1</v>
      </c>
      <c r="F41" s="20">
        <v>2025</v>
      </c>
      <c r="G41" s="4" t="s">
        <v>621</v>
      </c>
      <c r="H41" s="23" t="s">
        <v>383</v>
      </c>
      <c r="I41" s="20" t="s">
        <v>384</v>
      </c>
      <c r="J41" s="67" t="s">
        <v>390</v>
      </c>
    </row>
    <row r="42" spans="1:10" x14ac:dyDescent="0.3">
      <c r="A42" s="54" t="s">
        <v>549</v>
      </c>
      <c r="B42" s="20" t="s">
        <v>427</v>
      </c>
      <c r="C42" s="20" t="s">
        <v>382</v>
      </c>
      <c r="D42" s="21">
        <v>45703</v>
      </c>
      <c r="E42" s="20">
        <v>1</v>
      </c>
      <c r="F42" s="20">
        <v>2025</v>
      </c>
      <c r="G42" s="4" t="s">
        <v>621</v>
      </c>
      <c r="H42" s="23" t="s">
        <v>383</v>
      </c>
      <c r="I42" s="20" t="s">
        <v>384</v>
      </c>
      <c r="J42" s="67" t="s">
        <v>387</v>
      </c>
    </row>
    <row r="43" spans="1:10" x14ac:dyDescent="0.3">
      <c r="A43" s="54" t="s">
        <v>550</v>
      </c>
      <c r="B43" s="20" t="s">
        <v>428</v>
      </c>
      <c r="C43" s="20" t="s">
        <v>382</v>
      </c>
      <c r="D43" s="21">
        <v>45703</v>
      </c>
      <c r="E43" s="20">
        <v>1</v>
      </c>
      <c r="F43" s="20">
        <v>2025</v>
      </c>
      <c r="G43" s="4" t="s">
        <v>621</v>
      </c>
      <c r="H43" s="23" t="s">
        <v>383</v>
      </c>
      <c r="I43" s="20" t="s">
        <v>384</v>
      </c>
      <c r="J43" s="67" t="s">
        <v>387</v>
      </c>
    </row>
    <row r="44" spans="1:10" x14ac:dyDescent="0.3">
      <c r="A44" s="54" t="s">
        <v>551</v>
      </c>
      <c r="B44" s="20" t="s">
        <v>429</v>
      </c>
      <c r="C44" s="20" t="s">
        <v>382</v>
      </c>
      <c r="D44" s="21">
        <v>45703</v>
      </c>
      <c r="E44" s="20">
        <v>1</v>
      </c>
      <c r="F44" s="20">
        <v>2025</v>
      </c>
      <c r="G44" s="4" t="s">
        <v>621</v>
      </c>
      <c r="H44" s="23" t="s">
        <v>383</v>
      </c>
      <c r="I44" s="20" t="s">
        <v>384</v>
      </c>
      <c r="J44" s="67" t="s">
        <v>387</v>
      </c>
    </row>
    <row r="45" spans="1:10" x14ac:dyDescent="0.3">
      <c r="A45" s="54" t="s">
        <v>552</v>
      </c>
      <c r="B45" s="20" t="s">
        <v>430</v>
      </c>
      <c r="C45" s="20" t="s">
        <v>382</v>
      </c>
      <c r="D45" s="21">
        <v>45703</v>
      </c>
      <c r="E45" s="20">
        <v>1</v>
      </c>
      <c r="F45" s="20">
        <v>2025</v>
      </c>
      <c r="G45" s="4" t="s">
        <v>621</v>
      </c>
      <c r="H45" s="23" t="s">
        <v>383</v>
      </c>
      <c r="I45" s="20" t="s">
        <v>384</v>
      </c>
      <c r="J45" s="67" t="s">
        <v>387</v>
      </c>
    </row>
    <row r="46" spans="1:10" x14ac:dyDescent="0.3">
      <c r="A46" s="54" t="s">
        <v>553</v>
      </c>
      <c r="B46" s="20" t="s">
        <v>431</v>
      </c>
      <c r="C46" s="20" t="s">
        <v>382</v>
      </c>
      <c r="D46" s="21">
        <v>45703</v>
      </c>
      <c r="E46" s="20">
        <v>1</v>
      </c>
      <c r="F46" s="20">
        <v>2025</v>
      </c>
      <c r="G46" s="4" t="s">
        <v>621</v>
      </c>
      <c r="H46" s="23" t="s">
        <v>383</v>
      </c>
      <c r="I46" s="20" t="s">
        <v>384</v>
      </c>
      <c r="J46" s="67" t="s">
        <v>387</v>
      </c>
    </row>
    <row r="47" spans="1:10" x14ac:dyDescent="0.3">
      <c r="A47" s="54" t="s">
        <v>554</v>
      </c>
      <c r="B47" s="20" t="s">
        <v>432</v>
      </c>
      <c r="C47" s="20" t="s">
        <v>382</v>
      </c>
      <c r="D47" s="21">
        <v>45704</v>
      </c>
      <c r="E47" s="20">
        <v>1</v>
      </c>
      <c r="F47" s="20">
        <v>2025</v>
      </c>
      <c r="G47" s="4" t="s">
        <v>621</v>
      </c>
      <c r="H47" s="23" t="s">
        <v>383</v>
      </c>
      <c r="I47" s="20" t="s">
        <v>384</v>
      </c>
      <c r="J47" s="67" t="s">
        <v>385</v>
      </c>
    </row>
    <row r="48" spans="1:10" x14ac:dyDescent="0.3">
      <c r="A48" s="54" t="s">
        <v>555</v>
      </c>
      <c r="B48" s="20" t="s">
        <v>433</v>
      </c>
      <c r="C48" s="20" t="s">
        <v>382</v>
      </c>
      <c r="D48" s="21">
        <v>45704</v>
      </c>
      <c r="E48" s="20">
        <v>1</v>
      </c>
      <c r="F48" s="20">
        <v>2025</v>
      </c>
      <c r="G48" s="4" t="s">
        <v>621</v>
      </c>
      <c r="H48" s="23" t="s">
        <v>383</v>
      </c>
      <c r="I48" s="20" t="s">
        <v>384</v>
      </c>
      <c r="J48" s="67" t="s">
        <v>385</v>
      </c>
    </row>
    <row r="49" spans="1:10" x14ac:dyDescent="0.3">
      <c r="A49" s="54" t="s">
        <v>556</v>
      </c>
      <c r="B49" s="20" t="s">
        <v>434</v>
      </c>
      <c r="C49" s="20" t="s">
        <v>382</v>
      </c>
      <c r="D49" s="21">
        <v>45704</v>
      </c>
      <c r="E49" s="20">
        <v>1</v>
      </c>
      <c r="F49" s="20">
        <v>2025</v>
      </c>
      <c r="G49" s="4" t="s">
        <v>621</v>
      </c>
      <c r="H49" s="23" t="s">
        <v>383</v>
      </c>
      <c r="I49" s="20" t="s">
        <v>384</v>
      </c>
      <c r="J49" s="67" t="s">
        <v>385</v>
      </c>
    </row>
    <row r="50" spans="1:10" x14ac:dyDescent="0.3">
      <c r="A50" s="54" t="s">
        <v>557</v>
      </c>
      <c r="B50" s="20" t="s">
        <v>435</v>
      </c>
      <c r="C50" s="20" t="s">
        <v>382</v>
      </c>
      <c r="D50" s="21">
        <v>45704</v>
      </c>
      <c r="E50" s="20">
        <v>1</v>
      </c>
      <c r="F50" s="20">
        <v>2025</v>
      </c>
      <c r="G50" s="30" t="s">
        <v>619</v>
      </c>
      <c r="H50" s="23" t="s">
        <v>383</v>
      </c>
      <c r="I50" s="20" t="s">
        <v>384</v>
      </c>
      <c r="J50" s="67" t="s">
        <v>385</v>
      </c>
    </row>
    <row r="51" spans="1:10" x14ac:dyDescent="0.3">
      <c r="A51" s="54" t="s">
        <v>558</v>
      </c>
      <c r="B51" s="20" t="s">
        <v>436</v>
      </c>
      <c r="C51" s="20" t="s">
        <v>382</v>
      </c>
      <c r="D51" s="21">
        <v>45704</v>
      </c>
      <c r="E51" s="20">
        <v>1</v>
      </c>
      <c r="F51" s="20">
        <v>2025</v>
      </c>
      <c r="G51" s="23" t="s">
        <v>619</v>
      </c>
      <c r="H51" s="23" t="s">
        <v>383</v>
      </c>
      <c r="I51" s="20" t="s">
        <v>384</v>
      </c>
      <c r="J51" s="67" t="s">
        <v>385</v>
      </c>
    </row>
    <row r="52" spans="1:10" x14ac:dyDescent="0.3">
      <c r="A52" s="54" t="s">
        <v>559</v>
      </c>
      <c r="B52" s="20" t="s">
        <v>437</v>
      </c>
      <c r="C52" s="20" t="s">
        <v>382</v>
      </c>
      <c r="D52" s="21">
        <v>45704</v>
      </c>
      <c r="E52" s="20">
        <v>1</v>
      </c>
      <c r="F52" s="20">
        <v>2025</v>
      </c>
      <c r="G52" s="23" t="s">
        <v>620</v>
      </c>
      <c r="H52" s="23" t="s">
        <v>383</v>
      </c>
      <c r="I52" s="20" t="s">
        <v>384</v>
      </c>
      <c r="J52" s="67" t="s">
        <v>385</v>
      </c>
    </row>
    <row r="53" spans="1:10" x14ac:dyDescent="0.3">
      <c r="A53" s="54" t="s">
        <v>560</v>
      </c>
      <c r="B53" s="20" t="s">
        <v>438</v>
      </c>
      <c r="C53" s="20" t="s">
        <v>382</v>
      </c>
      <c r="D53" s="21">
        <v>45704</v>
      </c>
      <c r="E53" s="20">
        <v>1</v>
      </c>
      <c r="F53" s="20">
        <v>2025</v>
      </c>
      <c r="G53" s="4" t="s">
        <v>621</v>
      </c>
      <c r="H53" s="23" t="s">
        <v>383</v>
      </c>
      <c r="I53" s="20" t="s">
        <v>384</v>
      </c>
      <c r="J53" s="67" t="s">
        <v>385</v>
      </c>
    </row>
    <row r="54" spans="1:10" x14ac:dyDescent="0.3">
      <c r="A54" s="54" t="s">
        <v>561</v>
      </c>
      <c r="B54" s="20" t="s">
        <v>439</v>
      </c>
      <c r="C54" s="20" t="s">
        <v>382</v>
      </c>
      <c r="D54" s="21">
        <v>45704</v>
      </c>
      <c r="E54" s="20">
        <v>1</v>
      </c>
      <c r="F54" s="20">
        <v>2025</v>
      </c>
      <c r="G54" s="4" t="s">
        <v>621</v>
      </c>
      <c r="H54" s="23" t="s">
        <v>383</v>
      </c>
      <c r="I54" s="20" t="s">
        <v>384</v>
      </c>
      <c r="J54" s="67" t="s">
        <v>385</v>
      </c>
    </row>
    <row r="55" spans="1:10" x14ac:dyDescent="0.3">
      <c r="A55" s="54" t="s">
        <v>562</v>
      </c>
      <c r="B55" s="20" t="s">
        <v>440</v>
      </c>
      <c r="C55" s="20" t="s">
        <v>382</v>
      </c>
      <c r="D55" s="21">
        <v>45704</v>
      </c>
      <c r="E55" s="20">
        <v>1</v>
      </c>
      <c r="F55" s="20">
        <v>2025</v>
      </c>
      <c r="G55" s="4" t="s">
        <v>621</v>
      </c>
      <c r="H55" s="23" t="s">
        <v>383</v>
      </c>
      <c r="I55" s="20" t="s">
        <v>384</v>
      </c>
      <c r="J55" s="67" t="s">
        <v>385</v>
      </c>
    </row>
    <row r="56" spans="1:10" x14ac:dyDescent="0.3">
      <c r="A56" s="54" t="s">
        <v>563</v>
      </c>
      <c r="B56" s="20" t="s">
        <v>441</v>
      </c>
      <c r="C56" s="20" t="s">
        <v>382</v>
      </c>
      <c r="D56" s="21">
        <v>45704</v>
      </c>
      <c r="E56" s="20">
        <v>1</v>
      </c>
      <c r="F56" s="20">
        <v>2025</v>
      </c>
      <c r="G56" s="4" t="s">
        <v>621</v>
      </c>
      <c r="H56" s="23" t="s">
        <v>383</v>
      </c>
      <c r="I56" s="20" t="s">
        <v>384</v>
      </c>
      <c r="J56" s="67" t="s">
        <v>385</v>
      </c>
    </row>
    <row r="57" spans="1:10" x14ac:dyDescent="0.3">
      <c r="A57" s="54" t="s">
        <v>564</v>
      </c>
      <c r="B57" s="20" t="s">
        <v>442</v>
      </c>
      <c r="C57" s="20" t="s">
        <v>382</v>
      </c>
      <c r="D57" s="21">
        <v>45704</v>
      </c>
      <c r="E57" s="20">
        <v>1</v>
      </c>
      <c r="F57" s="20">
        <v>2025</v>
      </c>
      <c r="G57" s="30" t="s">
        <v>619</v>
      </c>
      <c r="H57" s="23" t="s">
        <v>383</v>
      </c>
      <c r="I57" s="20" t="s">
        <v>384</v>
      </c>
      <c r="J57" s="67" t="s">
        <v>385</v>
      </c>
    </row>
    <row r="58" spans="1:10" x14ac:dyDescent="0.3">
      <c r="A58" s="54" t="s">
        <v>565</v>
      </c>
      <c r="B58" s="20" t="s">
        <v>443</v>
      </c>
      <c r="C58" s="20" t="s">
        <v>382</v>
      </c>
      <c r="D58" s="21">
        <v>45704</v>
      </c>
      <c r="E58" s="20">
        <v>1</v>
      </c>
      <c r="F58" s="20">
        <v>2025</v>
      </c>
      <c r="G58" s="4" t="s">
        <v>621</v>
      </c>
      <c r="H58" s="23" t="s">
        <v>383</v>
      </c>
      <c r="I58" s="20" t="s">
        <v>384</v>
      </c>
      <c r="J58" s="67" t="s">
        <v>385</v>
      </c>
    </row>
    <row r="59" spans="1:10" x14ac:dyDescent="0.3">
      <c r="A59" s="54" t="s">
        <v>512</v>
      </c>
      <c r="B59" s="20" t="s">
        <v>389</v>
      </c>
      <c r="C59" s="20" t="s">
        <v>386</v>
      </c>
      <c r="D59" s="21">
        <v>45710</v>
      </c>
      <c r="E59" s="20">
        <v>1</v>
      </c>
      <c r="F59" s="20">
        <v>2025</v>
      </c>
      <c r="G59" s="30" t="s">
        <v>619</v>
      </c>
      <c r="H59" s="23" t="s">
        <v>383</v>
      </c>
      <c r="I59" s="20" t="s">
        <v>384</v>
      </c>
      <c r="J59" s="67" t="s">
        <v>390</v>
      </c>
    </row>
    <row r="60" spans="1:10" x14ac:dyDescent="0.3">
      <c r="A60" s="54" t="s">
        <v>566</v>
      </c>
      <c r="B60" s="20" t="s">
        <v>444</v>
      </c>
      <c r="C60" s="22" t="s">
        <v>445</v>
      </c>
      <c r="D60" s="21">
        <v>45776</v>
      </c>
      <c r="E60" s="20">
        <v>1</v>
      </c>
      <c r="F60" s="20">
        <v>2025</v>
      </c>
      <c r="G60" s="4" t="s">
        <v>621</v>
      </c>
      <c r="H60" s="23" t="s">
        <v>383</v>
      </c>
      <c r="I60" s="20" t="s">
        <v>384</v>
      </c>
      <c r="J60" s="67" t="s">
        <v>385</v>
      </c>
    </row>
    <row r="61" spans="1:10" x14ac:dyDescent="0.3">
      <c r="A61" s="54" t="s">
        <v>567</v>
      </c>
      <c r="B61" s="20" t="s">
        <v>446</v>
      </c>
      <c r="C61" s="22" t="s">
        <v>445</v>
      </c>
      <c r="D61" s="21">
        <v>45776</v>
      </c>
      <c r="E61" s="20">
        <v>1</v>
      </c>
      <c r="F61" s="20">
        <v>2025</v>
      </c>
      <c r="G61" s="4" t="s">
        <v>621</v>
      </c>
      <c r="H61" s="23" t="s">
        <v>383</v>
      </c>
      <c r="I61" s="20" t="s">
        <v>384</v>
      </c>
      <c r="J61" s="67" t="s">
        <v>390</v>
      </c>
    </row>
    <row r="62" spans="1:10" x14ac:dyDescent="0.3">
      <c r="A62" s="54" t="s">
        <v>559</v>
      </c>
      <c r="B62" s="20" t="s">
        <v>437</v>
      </c>
      <c r="C62" s="22" t="s">
        <v>445</v>
      </c>
      <c r="D62" s="21">
        <v>45776</v>
      </c>
      <c r="E62" s="20">
        <v>1</v>
      </c>
      <c r="F62" s="20">
        <v>2025</v>
      </c>
      <c r="G62" s="30" t="s">
        <v>620</v>
      </c>
      <c r="H62" s="23" t="s">
        <v>383</v>
      </c>
      <c r="I62" s="20" t="s">
        <v>384</v>
      </c>
      <c r="J62" s="67" t="s">
        <v>385</v>
      </c>
    </row>
    <row r="63" spans="1:10" x14ac:dyDescent="0.3">
      <c r="A63" s="54" t="s">
        <v>512</v>
      </c>
      <c r="B63" s="20" t="s">
        <v>389</v>
      </c>
      <c r="C63" s="22" t="s">
        <v>445</v>
      </c>
      <c r="D63" s="21">
        <v>45776</v>
      </c>
      <c r="E63" s="20">
        <v>1</v>
      </c>
      <c r="F63" s="20">
        <v>2025</v>
      </c>
      <c r="G63" s="23" t="s">
        <v>619</v>
      </c>
      <c r="H63" s="23" t="s">
        <v>383</v>
      </c>
      <c r="I63" s="20" t="s">
        <v>384</v>
      </c>
      <c r="J63" s="67" t="s">
        <v>390</v>
      </c>
    </row>
    <row r="64" spans="1:10" x14ac:dyDescent="0.3">
      <c r="A64" s="54" t="s">
        <v>523</v>
      </c>
      <c r="B64" s="20" t="s">
        <v>401</v>
      </c>
      <c r="C64" s="22" t="s">
        <v>445</v>
      </c>
      <c r="D64" s="21">
        <v>45776</v>
      </c>
      <c r="E64" s="20">
        <v>1</v>
      </c>
      <c r="F64" s="20">
        <v>2025</v>
      </c>
      <c r="G64" s="4" t="s">
        <v>621</v>
      </c>
      <c r="H64" s="23" t="s">
        <v>383</v>
      </c>
      <c r="I64" s="20" t="s">
        <v>384</v>
      </c>
      <c r="J64" s="67" t="s">
        <v>387</v>
      </c>
    </row>
    <row r="65" spans="1:10" x14ac:dyDescent="0.3">
      <c r="A65" s="54" t="s">
        <v>530</v>
      </c>
      <c r="B65" s="20" t="s">
        <v>408</v>
      </c>
      <c r="C65" s="22" t="s">
        <v>445</v>
      </c>
      <c r="D65" s="21">
        <v>45776</v>
      </c>
      <c r="E65" s="20">
        <v>1</v>
      </c>
      <c r="F65" s="20">
        <v>2025</v>
      </c>
      <c r="G65" s="4" t="s">
        <v>621</v>
      </c>
      <c r="H65" s="23" t="s">
        <v>383</v>
      </c>
      <c r="I65" s="20" t="s">
        <v>384</v>
      </c>
      <c r="J65" s="67" t="s">
        <v>390</v>
      </c>
    </row>
    <row r="66" spans="1:10" x14ac:dyDescent="0.3">
      <c r="A66" s="54" t="s">
        <v>534</v>
      </c>
      <c r="B66" s="20" t="s">
        <v>412</v>
      </c>
      <c r="C66" s="22" t="s">
        <v>445</v>
      </c>
      <c r="D66" s="21">
        <v>45776</v>
      </c>
      <c r="E66" s="20">
        <v>1</v>
      </c>
      <c r="F66" s="20">
        <v>2025</v>
      </c>
      <c r="G66" s="30" t="s">
        <v>619</v>
      </c>
      <c r="H66" s="23" t="s">
        <v>383</v>
      </c>
      <c r="I66" s="20" t="s">
        <v>384</v>
      </c>
      <c r="J66" s="67" t="s">
        <v>387</v>
      </c>
    </row>
    <row r="67" spans="1:10" x14ac:dyDescent="0.3">
      <c r="A67" s="54" t="s">
        <v>514</v>
      </c>
      <c r="B67" s="20" t="s">
        <v>392</v>
      </c>
      <c r="C67" s="22" t="s">
        <v>445</v>
      </c>
      <c r="D67" s="21">
        <v>45776</v>
      </c>
      <c r="E67" s="20">
        <v>1</v>
      </c>
      <c r="F67" s="20">
        <v>2025</v>
      </c>
      <c r="G67" s="4" t="s">
        <v>621</v>
      </c>
      <c r="H67" s="23" t="s">
        <v>383</v>
      </c>
      <c r="I67" s="20" t="s">
        <v>384</v>
      </c>
      <c r="J67" s="67" t="s">
        <v>387</v>
      </c>
    </row>
    <row r="68" spans="1:10" x14ac:dyDescent="0.3">
      <c r="A68" s="54" t="s">
        <v>568</v>
      </c>
      <c r="B68" s="20" t="s">
        <v>447</v>
      </c>
      <c r="C68" s="22" t="s">
        <v>445</v>
      </c>
      <c r="D68" s="21">
        <v>45776</v>
      </c>
      <c r="E68" s="20">
        <v>1</v>
      </c>
      <c r="F68" s="20">
        <v>2025</v>
      </c>
      <c r="G68" s="4" t="s">
        <v>621</v>
      </c>
      <c r="H68" s="23" t="s">
        <v>383</v>
      </c>
      <c r="I68" s="20" t="s">
        <v>384</v>
      </c>
      <c r="J68" s="67" t="s">
        <v>390</v>
      </c>
    </row>
    <row r="69" spans="1:10" x14ac:dyDescent="0.3">
      <c r="A69" s="54" t="s">
        <v>541</v>
      </c>
      <c r="B69" s="20" t="s">
        <v>419</v>
      </c>
      <c r="C69" s="22" t="s">
        <v>445</v>
      </c>
      <c r="D69" s="21">
        <v>45776</v>
      </c>
      <c r="E69" s="20">
        <v>1</v>
      </c>
      <c r="F69" s="20">
        <v>2025</v>
      </c>
      <c r="G69" s="30" t="s">
        <v>619</v>
      </c>
      <c r="H69" s="23" t="s">
        <v>383</v>
      </c>
      <c r="I69" s="20" t="s">
        <v>384</v>
      </c>
      <c r="J69" s="67" t="s">
        <v>390</v>
      </c>
    </row>
    <row r="70" spans="1:10" x14ac:dyDescent="0.3">
      <c r="A70" s="54" t="s">
        <v>546</v>
      </c>
      <c r="B70" s="20" t="s">
        <v>424</v>
      </c>
      <c r="C70" s="22" t="s">
        <v>445</v>
      </c>
      <c r="D70" s="21">
        <v>45776</v>
      </c>
      <c r="E70" s="20">
        <v>1</v>
      </c>
      <c r="F70" s="20">
        <v>2025</v>
      </c>
      <c r="G70" s="4" t="s">
        <v>621</v>
      </c>
      <c r="H70" s="23" t="s">
        <v>383</v>
      </c>
      <c r="I70" s="20" t="s">
        <v>384</v>
      </c>
      <c r="J70" s="67" t="s">
        <v>390</v>
      </c>
    </row>
    <row r="71" spans="1:10" x14ac:dyDescent="0.3">
      <c r="A71" s="54" t="s">
        <v>539</v>
      </c>
      <c r="B71" s="20" t="s">
        <v>417</v>
      </c>
      <c r="C71" s="22" t="s">
        <v>445</v>
      </c>
      <c r="D71" s="21">
        <v>45776</v>
      </c>
      <c r="E71" s="20">
        <v>1</v>
      </c>
      <c r="F71" s="20">
        <v>2025</v>
      </c>
      <c r="G71" s="4" t="s">
        <v>621</v>
      </c>
      <c r="H71" s="23" t="s">
        <v>383</v>
      </c>
      <c r="I71" s="20" t="s">
        <v>384</v>
      </c>
      <c r="J71" s="67" t="s">
        <v>387</v>
      </c>
    </row>
    <row r="72" spans="1:10" x14ac:dyDescent="0.3">
      <c r="A72" s="54" t="s">
        <v>569</v>
      </c>
      <c r="B72" s="20" t="s">
        <v>448</v>
      </c>
      <c r="C72" s="22" t="s">
        <v>445</v>
      </c>
      <c r="D72" s="21">
        <v>45776</v>
      </c>
      <c r="E72" s="20">
        <v>1</v>
      </c>
      <c r="F72" s="20">
        <v>2025</v>
      </c>
      <c r="G72" s="4" t="s">
        <v>621</v>
      </c>
      <c r="H72" s="23" t="s">
        <v>383</v>
      </c>
      <c r="I72" s="20" t="s">
        <v>384</v>
      </c>
      <c r="J72" s="67" t="s">
        <v>390</v>
      </c>
    </row>
    <row r="73" spans="1:10" x14ac:dyDescent="0.3">
      <c r="A73" s="54" t="s">
        <v>536</v>
      </c>
      <c r="B73" s="20" t="s">
        <v>414</v>
      </c>
      <c r="C73" s="22" t="s">
        <v>445</v>
      </c>
      <c r="D73" s="21">
        <v>45776</v>
      </c>
      <c r="E73" s="20">
        <v>1</v>
      </c>
      <c r="F73" s="20">
        <v>2025</v>
      </c>
      <c r="G73" s="4" t="s">
        <v>621</v>
      </c>
      <c r="H73" s="23" t="s">
        <v>383</v>
      </c>
      <c r="I73" s="20" t="s">
        <v>384</v>
      </c>
      <c r="J73" s="67" t="s">
        <v>387</v>
      </c>
    </row>
    <row r="74" spans="1:10" x14ac:dyDescent="0.3">
      <c r="A74" s="54" t="s">
        <v>553</v>
      </c>
      <c r="B74" s="20" t="s">
        <v>431</v>
      </c>
      <c r="C74" s="22" t="s">
        <v>445</v>
      </c>
      <c r="D74" s="21">
        <v>45776</v>
      </c>
      <c r="E74" s="20">
        <v>1</v>
      </c>
      <c r="F74" s="20">
        <v>2025</v>
      </c>
      <c r="G74" s="4" t="s">
        <v>621</v>
      </c>
      <c r="H74" s="23" t="s">
        <v>383</v>
      </c>
      <c r="I74" s="20" t="s">
        <v>384</v>
      </c>
      <c r="J74" s="67" t="s">
        <v>387</v>
      </c>
    </row>
    <row r="75" spans="1:10" x14ac:dyDescent="0.3">
      <c r="A75" s="54" t="s">
        <v>552</v>
      </c>
      <c r="B75" s="20" t="s">
        <v>430</v>
      </c>
      <c r="C75" s="22" t="s">
        <v>445</v>
      </c>
      <c r="D75" s="21">
        <v>45776</v>
      </c>
      <c r="E75" s="20">
        <v>1</v>
      </c>
      <c r="F75" s="20">
        <v>2025</v>
      </c>
      <c r="G75" s="4" t="s">
        <v>621</v>
      </c>
      <c r="H75" s="23" t="s">
        <v>383</v>
      </c>
      <c r="I75" s="20" t="s">
        <v>384</v>
      </c>
      <c r="J75" s="67" t="s">
        <v>387</v>
      </c>
    </row>
    <row r="76" spans="1:10" x14ac:dyDescent="0.3">
      <c r="A76" s="54" t="s">
        <v>520</v>
      </c>
      <c r="B76" s="20" t="s">
        <v>398</v>
      </c>
      <c r="C76" s="22" t="s">
        <v>445</v>
      </c>
      <c r="D76" s="21">
        <v>45776</v>
      </c>
      <c r="E76" s="20">
        <v>1</v>
      </c>
      <c r="F76" s="20">
        <v>2025</v>
      </c>
      <c r="G76" s="4" t="s">
        <v>621</v>
      </c>
      <c r="H76" s="23" t="s">
        <v>383</v>
      </c>
      <c r="I76" s="20" t="s">
        <v>384</v>
      </c>
      <c r="J76" s="67" t="s">
        <v>387</v>
      </c>
    </row>
    <row r="77" spans="1:10" x14ac:dyDescent="0.3">
      <c r="A77" s="54" t="s">
        <v>557</v>
      </c>
      <c r="B77" s="20" t="s">
        <v>435</v>
      </c>
      <c r="C77" s="22" t="s">
        <v>445</v>
      </c>
      <c r="D77" s="21">
        <v>45776</v>
      </c>
      <c r="E77" s="20">
        <v>1</v>
      </c>
      <c r="F77" s="20">
        <v>2025</v>
      </c>
      <c r="G77" s="30" t="s">
        <v>619</v>
      </c>
      <c r="H77" s="23" t="s">
        <v>383</v>
      </c>
      <c r="I77" s="20" t="s">
        <v>384</v>
      </c>
      <c r="J77" s="67" t="s">
        <v>385</v>
      </c>
    </row>
    <row r="78" spans="1:10" x14ac:dyDescent="0.3">
      <c r="A78" s="54" t="s">
        <v>560</v>
      </c>
      <c r="B78" s="20" t="s">
        <v>438</v>
      </c>
      <c r="C78" s="22" t="s">
        <v>445</v>
      </c>
      <c r="D78" s="21">
        <v>45776</v>
      </c>
      <c r="E78" s="20">
        <v>1</v>
      </c>
      <c r="F78" s="20">
        <v>2025</v>
      </c>
      <c r="G78" s="4" t="s">
        <v>621</v>
      </c>
      <c r="H78" s="23" t="s">
        <v>383</v>
      </c>
      <c r="I78" s="20" t="s">
        <v>384</v>
      </c>
      <c r="J78" s="67" t="s">
        <v>385</v>
      </c>
    </row>
    <row r="79" spans="1:10" x14ac:dyDescent="0.3">
      <c r="A79" s="54" t="s">
        <v>540</v>
      </c>
      <c r="B79" s="20" t="s">
        <v>418</v>
      </c>
      <c r="C79" s="22" t="s">
        <v>445</v>
      </c>
      <c r="D79" s="21">
        <v>45777</v>
      </c>
      <c r="E79" s="20">
        <v>1</v>
      </c>
      <c r="F79" s="20">
        <v>2025</v>
      </c>
      <c r="G79" s="4" t="s">
        <v>621</v>
      </c>
      <c r="H79" s="23" t="s">
        <v>383</v>
      </c>
      <c r="I79" s="20" t="s">
        <v>384</v>
      </c>
      <c r="J79" s="67" t="s">
        <v>387</v>
      </c>
    </row>
    <row r="80" spans="1:10" x14ac:dyDescent="0.3">
      <c r="A80" s="54" t="s">
        <v>517</v>
      </c>
      <c r="B80" s="20" t="s">
        <v>395</v>
      </c>
      <c r="C80" s="22" t="s">
        <v>445</v>
      </c>
      <c r="D80" s="21">
        <v>45777</v>
      </c>
      <c r="E80" s="20">
        <v>1</v>
      </c>
      <c r="F80" s="20">
        <v>2025</v>
      </c>
      <c r="G80" s="4" t="s">
        <v>621</v>
      </c>
      <c r="H80" s="23" t="s">
        <v>383</v>
      </c>
      <c r="I80" s="20" t="s">
        <v>384</v>
      </c>
      <c r="J80" s="67" t="s">
        <v>387</v>
      </c>
    </row>
    <row r="81" spans="1:10" x14ac:dyDescent="0.3">
      <c r="A81" s="54" t="s">
        <v>555</v>
      </c>
      <c r="B81" s="20" t="s">
        <v>433</v>
      </c>
      <c r="C81" s="22" t="s">
        <v>445</v>
      </c>
      <c r="D81" s="21">
        <v>45777</v>
      </c>
      <c r="E81" s="20">
        <v>1</v>
      </c>
      <c r="F81" s="20">
        <v>2025</v>
      </c>
      <c r="G81" s="4" t="s">
        <v>621</v>
      </c>
      <c r="H81" s="23" t="s">
        <v>383</v>
      </c>
      <c r="I81" s="20" t="s">
        <v>384</v>
      </c>
      <c r="J81" s="67" t="s">
        <v>385</v>
      </c>
    </row>
    <row r="82" spans="1:10" x14ac:dyDescent="0.3">
      <c r="A82" s="54" t="s">
        <v>526</v>
      </c>
      <c r="B82" s="20" t="s">
        <v>404</v>
      </c>
      <c r="C82" s="22" t="s">
        <v>445</v>
      </c>
      <c r="D82" s="21">
        <v>45777</v>
      </c>
      <c r="E82" s="20">
        <v>1</v>
      </c>
      <c r="F82" s="20">
        <v>2025</v>
      </c>
      <c r="G82" s="4" t="s">
        <v>621</v>
      </c>
      <c r="H82" s="23" t="s">
        <v>383</v>
      </c>
      <c r="I82" s="20" t="s">
        <v>384</v>
      </c>
      <c r="J82" s="67" t="s">
        <v>387</v>
      </c>
    </row>
    <row r="83" spans="1:10" x14ac:dyDescent="0.3">
      <c r="A83" s="54" t="s">
        <v>570</v>
      </c>
      <c r="B83" s="20" t="s">
        <v>449</v>
      </c>
      <c r="C83" s="22" t="s">
        <v>445</v>
      </c>
      <c r="D83" s="21">
        <v>45777</v>
      </c>
      <c r="E83" s="20">
        <v>1</v>
      </c>
      <c r="F83" s="20">
        <v>2025</v>
      </c>
      <c r="G83" s="4" t="s">
        <v>621</v>
      </c>
      <c r="H83" s="23" t="s">
        <v>383</v>
      </c>
      <c r="I83" s="20" t="s">
        <v>384</v>
      </c>
      <c r="J83" s="67" t="s">
        <v>387</v>
      </c>
    </row>
    <row r="84" spans="1:10" x14ac:dyDescent="0.3">
      <c r="A84" s="54" t="s">
        <v>521</v>
      </c>
      <c r="B84" s="20" t="s">
        <v>399</v>
      </c>
      <c r="C84" s="22" t="s">
        <v>445</v>
      </c>
      <c r="D84" s="21">
        <v>45777</v>
      </c>
      <c r="E84" s="20">
        <v>1</v>
      </c>
      <c r="F84" s="20">
        <v>2025</v>
      </c>
      <c r="G84" s="4" t="s">
        <v>621</v>
      </c>
      <c r="H84" s="23" t="s">
        <v>383</v>
      </c>
      <c r="I84" s="20" t="s">
        <v>384</v>
      </c>
      <c r="J84" s="67" t="s">
        <v>387</v>
      </c>
    </row>
    <row r="85" spans="1:10" x14ac:dyDescent="0.3">
      <c r="A85" s="54" t="s">
        <v>522</v>
      </c>
      <c r="B85" s="20" t="s">
        <v>400</v>
      </c>
      <c r="C85" s="22" t="s">
        <v>445</v>
      </c>
      <c r="D85" s="21">
        <v>45777</v>
      </c>
      <c r="E85" s="20">
        <v>1</v>
      </c>
      <c r="F85" s="20">
        <v>2025</v>
      </c>
      <c r="G85" s="30" t="s">
        <v>619</v>
      </c>
      <c r="H85" s="23" t="s">
        <v>383</v>
      </c>
      <c r="I85" s="20" t="s">
        <v>384</v>
      </c>
      <c r="J85" s="67" t="s">
        <v>387</v>
      </c>
    </row>
    <row r="86" spans="1:10" x14ac:dyDescent="0.3">
      <c r="A86" s="54" t="s">
        <v>531</v>
      </c>
      <c r="B86" s="20" t="s">
        <v>409</v>
      </c>
      <c r="C86" s="22" t="s">
        <v>445</v>
      </c>
      <c r="D86" s="21">
        <v>45777</v>
      </c>
      <c r="E86" s="20">
        <v>1</v>
      </c>
      <c r="F86" s="20">
        <v>2025</v>
      </c>
      <c r="G86" s="4" t="s">
        <v>621</v>
      </c>
      <c r="H86" s="23" t="s">
        <v>383</v>
      </c>
      <c r="I86" s="20" t="s">
        <v>384</v>
      </c>
      <c r="J86" s="67" t="s">
        <v>390</v>
      </c>
    </row>
    <row r="87" spans="1:10" x14ac:dyDescent="0.3">
      <c r="A87" s="54" t="s">
        <v>564</v>
      </c>
      <c r="B87" s="20" t="s">
        <v>442</v>
      </c>
      <c r="C87" s="22" t="s">
        <v>445</v>
      </c>
      <c r="D87" s="21">
        <v>45777</v>
      </c>
      <c r="E87" s="20">
        <v>1</v>
      </c>
      <c r="F87" s="20">
        <v>2025</v>
      </c>
      <c r="G87" s="30" t="s">
        <v>619</v>
      </c>
      <c r="H87" s="23" t="s">
        <v>383</v>
      </c>
      <c r="I87" s="20" t="s">
        <v>384</v>
      </c>
      <c r="J87" s="67" t="s">
        <v>385</v>
      </c>
    </row>
    <row r="88" spans="1:10" x14ac:dyDescent="0.3">
      <c r="A88" s="54" t="s">
        <v>515</v>
      </c>
      <c r="B88" s="20" t="s">
        <v>393</v>
      </c>
      <c r="C88" s="22" t="s">
        <v>445</v>
      </c>
      <c r="D88" s="21">
        <v>45777</v>
      </c>
      <c r="E88" s="20">
        <v>1</v>
      </c>
      <c r="F88" s="20">
        <v>2025</v>
      </c>
      <c r="G88" s="4" t="s">
        <v>621</v>
      </c>
      <c r="H88" s="23" t="s">
        <v>383</v>
      </c>
      <c r="I88" s="20" t="s">
        <v>384</v>
      </c>
      <c r="J88" s="67" t="s">
        <v>387</v>
      </c>
    </row>
    <row r="89" spans="1:10" x14ac:dyDescent="0.3">
      <c r="A89" s="54" t="s">
        <v>510</v>
      </c>
      <c r="B89" s="20" t="s">
        <v>381</v>
      </c>
      <c r="C89" s="22" t="s">
        <v>445</v>
      </c>
      <c r="D89" s="21">
        <v>45777</v>
      </c>
      <c r="E89" s="20">
        <v>1</v>
      </c>
      <c r="F89" s="20">
        <v>2025</v>
      </c>
      <c r="G89" s="30" t="s">
        <v>619</v>
      </c>
      <c r="H89" s="23" t="s">
        <v>383</v>
      </c>
      <c r="I89" s="20" t="s">
        <v>384</v>
      </c>
      <c r="J89" s="67" t="s">
        <v>385</v>
      </c>
    </row>
    <row r="90" spans="1:10" x14ac:dyDescent="0.3">
      <c r="A90" s="54" t="s">
        <v>550</v>
      </c>
      <c r="B90" s="20" t="s">
        <v>428</v>
      </c>
      <c r="C90" s="22" t="s">
        <v>445</v>
      </c>
      <c r="D90" s="21">
        <v>45777</v>
      </c>
      <c r="E90" s="20">
        <v>1</v>
      </c>
      <c r="F90" s="20">
        <v>2025</v>
      </c>
      <c r="G90" s="4" t="s">
        <v>621</v>
      </c>
      <c r="H90" s="23" t="s">
        <v>383</v>
      </c>
      <c r="I90" s="20" t="s">
        <v>384</v>
      </c>
      <c r="J90" s="67" t="s">
        <v>387</v>
      </c>
    </row>
    <row r="91" spans="1:10" x14ac:dyDescent="0.3">
      <c r="A91" s="54" t="s">
        <v>511</v>
      </c>
      <c r="B91" s="20" t="s">
        <v>388</v>
      </c>
      <c r="C91" s="22" t="s">
        <v>445</v>
      </c>
      <c r="D91" s="21">
        <v>45777</v>
      </c>
      <c r="E91" s="20">
        <v>1</v>
      </c>
      <c r="F91" s="20">
        <v>2025</v>
      </c>
      <c r="G91" s="30" t="s">
        <v>619</v>
      </c>
      <c r="H91" s="23" t="s">
        <v>383</v>
      </c>
      <c r="I91" s="20" t="s">
        <v>384</v>
      </c>
      <c r="J91" s="67" t="s">
        <v>387</v>
      </c>
    </row>
    <row r="92" spans="1:10" x14ac:dyDescent="0.3">
      <c r="A92" s="54" t="s">
        <v>551</v>
      </c>
      <c r="B92" s="20" t="s">
        <v>429</v>
      </c>
      <c r="C92" s="22" t="s">
        <v>445</v>
      </c>
      <c r="D92" s="21">
        <v>45777</v>
      </c>
      <c r="E92" s="20">
        <v>1</v>
      </c>
      <c r="F92" s="20">
        <v>2025</v>
      </c>
      <c r="G92" s="4" t="s">
        <v>621</v>
      </c>
      <c r="H92" s="23" t="s">
        <v>383</v>
      </c>
      <c r="I92" s="20" t="s">
        <v>384</v>
      </c>
      <c r="J92" s="67" t="s">
        <v>387</v>
      </c>
    </row>
    <row r="93" spans="1:10" x14ac:dyDescent="0.3">
      <c r="A93" s="54" t="s">
        <v>547</v>
      </c>
      <c r="B93" s="20" t="s">
        <v>425</v>
      </c>
      <c r="C93" s="22" t="s">
        <v>445</v>
      </c>
      <c r="D93" s="21">
        <v>45777</v>
      </c>
      <c r="E93" s="20">
        <v>1</v>
      </c>
      <c r="F93" s="20">
        <v>2025</v>
      </c>
      <c r="G93" s="4" t="s">
        <v>621</v>
      </c>
      <c r="H93" s="23" t="s">
        <v>383</v>
      </c>
      <c r="I93" s="20" t="s">
        <v>384</v>
      </c>
      <c r="J93" s="67" t="s">
        <v>390</v>
      </c>
    </row>
    <row r="94" spans="1:10" x14ac:dyDescent="0.3">
      <c r="A94" s="54" t="s">
        <v>542</v>
      </c>
      <c r="B94" s="20" t="s">
        <v>420</v>
      </c>
      <c r="C94" s="22" t="s">
        <v>445</v>
      </c>
      <c r="D94" s="21">
        <v>45777</v>
      </c>
      <c r="E94" s="20">
        <v>1</v>
      </c>
      <c r="F94" s="20">
        <v>2025</v>
      </c>
      <c r="G94" s="30" t="s">
        <v>619</v>
      </c>
      <c r="H94" s="23" t="s">
        <v>383</v>
      </c>
      <c r="I94" s="20" t="s">
        <v>384</v>
      </c>
      <c r="J94" s="67" t="s">
        <v>390</v>
      </c>
    </row>
    <row r="95" spans="1:10" x14ac:dyDescent="0.3">
      <c r="A95" s="54" t="s">
        <v>528</v>
      </c>
      <c r="B95" s="20" t="s">
        <v>406</v>
      </c>
      <c r="C95" s="22" t="s">
        <v>445</v>
      </c>
      <c r="D95" s="21">
        <v>45777</v>
      </c>
      <c r="E95" s="20">
        <v>1</v>
      </c>
      <c r="F95" s="20">
        <v>2025</v>
      </c>
      <c r="G95" s="4" t="s">
        <v>621</v>
      </c>
      <c r="H95" s="23" t="s">
        <v>383</v>
      </c>
      <c r="I95" s="20" t="s">
        <v>384</v>
      </c>
      <c r="J95" s="67" t="s">
        <v>387</v>
      </c>
    </row>
    <row r="96" spans="1:10" x14ac:dyDescent="0.3">
      <c r="A96" s="54" t="s">
        <v>571</v>
      </c>
      <c r="B96" s="20" t="s">
        <v>450</v>
      </c>
      <c r="C96" s="22" t="s">
        <v>445</v>
      </c>
      <c r="D96" s="21">
        <v>45777</v>
      </c>
      <c r="E96" s="20">
        <v>1</v>
      </c>
      <c r="F96" s="20">
        <v>2025</v>
      </c>
      <c r="G96" s="4" t="s">
        <v>621</v>
      </c>
      <c r="H96" s="23" t="s">
        <v>383</v>
      </c>
      <c r="I96" s="20" t="s">
        <v>384</v>
      </c>
      <c r="J96" s="67" t="s">
        <v>387</v>
      </c>
    </row>
    <row r="97" spans="1:10" x14ac:dyDescent="0.3">
      <c r="A97" s="54" t="s">
        <v>518</v>
      </c>
      <c r="B97" s="20" t="s">
        <v>396</v>
      </c>
      <c r="C97" s="22" t="s">
        <v>445</v>
      </c>
      <c r="D97" s="21">
        <v>45777</v>
      </c>
      <c r="E97" s="20">
        <v>1</v>
      </c>
      <c r="F97" s="20">
        <v>2025</v>
      </c>
      <c r="G97" s="30" t="s">
        <v>619</v>
      </c>
      <c r="H97" s="23" t="s">
        <v>383</v>
      </c>
      <c r="I97" s="20" t="s">
        <v>384</v>
      </c>
      <c r="J97" s="67" t="s">
        <v>387</v>
      </c>
    </row>
    <row r="98" spans="1:10" x14ac:dyDescent="0.3">
      <c r="A98" s="54" t="s">
        <v>527</v>
      </c>
      <c r="B98" s="20" t="s">
        <v>405</v>
      </c>
      <c r="C98" s="22" t="s">
        <v>445</v>
      </c>
      <c r="D98" s="21">
        <v>45777</v>
      </c>
      <c r="E98" s="20">
        <v>1</v>
      </c>
      <c r="F98" s="20">
        <v>2025</v>
      </c>
      <c r="G98" s="4" t="s">
        <v>621</v>
      </c>
      <c r="H98" s="23" t="s">
        <v>383</v>
      </c>
      <c r="I98" s="20" t="s">
        <v>384</v>
      </c>
      <c r="J98" s="67" t="s">
        <v>387</v>
      </c>
    </row>
    <row r="99" spans="1:10" x14ac:dyDescent="0.3">
      <c r="A99" s="54" t="s">
        <v>572</v>
      </c>
      <c r="B99" s="20" t="s">
        <v>451</v>
      </c>
      <c r="C99" s="22" t="s">
        <v>445</v>
      </c>
      <c r="D99" s="21">
        <v>45777</v>
      </c>
      <c r="E99" s="20">
        <v>1</v>
      </c>
      <c r="F99" s="20">
        <v>2025</v>
      </c>
      <c r="G99" s="4" t="s">
        <v>621</v>
      </c>
      <c r="H99" s="23" t="s">
        <v>383</v>
      </c>
      <c r="I99" s="20" t="s">
        <v>384</v>
      </c>
      <c r="J99" s="67" t="s">
        <v>387</v>
      </c>
    </row>
    <row r="100" spans="1:10" x14ac:dyDescent="0.3">
      <c r="A100" s="54" t="s">
        <v>556</v>
      </c>
      <c r="B100" s="20" t="s">
        <v>434</v>
      </c>
      <c r="C100" s="22" t="s">
        <v>445</v>
      </c>
      <c r="D100" s="21">
        <v>45777</v>
      </c>
      <c r="E100" s="20">
        <v>1</v>
      </c>
      <c r="F100" s="20">
        <v>2025</v>
      </c>
      <c r="G100" s="4" t="s">
        <v>621</v>
      </c>
      <c r="H100" s="23" t="s">
        <v>383</v>
      </c>
      <c r="I100" s="20" t="s">
        <v>384</v>
      </c>
      <c r="J100" s="67" t="s">
        <v>385</v>
      </c>
    </row>
    <row r="101" spans="1:10" x14ac:dyDescent="0.3">
      <c r="A101" s="54" t="s">
        <v>561</v>
      </c>
      <c r="B101" s="20" t="s">
        <v>439</v>
      </c>
      <c r="C101" s="22" t="s">
        <v>445</v>
      </c>
      <c r="D101" s="21">
        <v>45777</v>
      </c>
      <c r="E101" s="20">
        <v>1</v>
      </c>
      <c r="F101" s="20">
        <v>2025</v>
      </c>
      <c r="G101" s="4" t="s">
        <v>621</v>
      </c>
      <c r="H101" s="23" t="s">
        <v>383</v>
      </c>
      <c r="I101" s="20" t="s">
        <v>384</v>
      </c>
      <c r="J101" s="67" t="s">
        <v>385</v>
      </c>
    </row>
    <row r="102" spans="1:10" x14ac:dyDescent="0.3">
      <c r="A102" s="54" t="s">
        <v>537</v>
      </c>
      <c r="B102" s="20" t="s">
        <v>415</v>
      </c>
      <c r="C102" s="22" t="s">
        <v>445</v>
      </c>
      <c r="D102" s="21">
        <v>45777</v>
      </c>
      <c r="E102" s="20">
        <v>1</v>
      </c>
      <c r="F102" s="20">
        <v>2025</v>
      </c>
      <c r="G102" s="4" t="s">
        <v>621</v>
      </c>
      <c r="H102" s="23" t="s">
        <v>383</v>
      </c>
      <c r="I102" s="20" t="s">
        <v>384</v>
      </c>
      <c r="J102" s="67" t="s">
        <v>387</v>
      </c>
    </row>
    <row r="103" spans="1:10" x14ac:dyDescent="0.3">
      <c r="A103" s="54" t="s">
        <v>573</v>
      </c>
      <c r="B103" s="20" t="s">
        <v>452</v>
      </c>
      <c r="C103" s="22" t="s">
        <v>445</v>
      </c>
      <c r="D103" s="21">
        <v>45777</v>
      </c>
      <c r="E103" s="20">
        <v>1</v>
      </c>
      <c r="F103" s="20">
        <v>2025</v>
      </c>
      <c r="G103" s="4" t="s">
        <v>621</v>
      </c>
      <c r="H103" s="23" t="s">
        <v>383</v>
      </c>
      <c r="I103" s="20" t="s">
        <v>384</v>
      </c>
      <c r="J103" s="67" t="s">
        <v>385</v>
      </c>
    </row>
    <row r="104" spans="1:10" x14ac:dyDescent="0.3">
      <c r="A104" s="54" t="s">
        <v>565</v>
      </c>
      <c r="B104" s="20" t="s">
        <v>443</v>
      </c>
      <c r="C104" s="22" t="s">
        <v>445</v>
      </c>
      <c r="D104" s="21">
        <v>45777</v>
      </c>
      <c r="E104" s="20">
        <v>1</v>
      </c>
      <c r="F104" s="20">
        <v>2025</v>
      </c>
      <c r="G104" s="4" t="s">
        <v>621</v>
      </c>
      <c r="H104" s="23" t="s">
        <v>383</v>
      </c>
      <c r="I104" s="20" t="s">
        <v>384</v>
      </c>
      <c r="J104" s="67" t="s">
        <v>385</v>
      </c>
    </row>
    <row r="105" spans="1:10" x14ac:dyDescent="0.3">
      <c r="A105" s="54" t="s">
        <v>524</v>
      </c>
      <c r="B105" s="20" t="s">
        <v>402</v>
      </c>
      <c r="C105" s="22" t="s">
        <v>445</v>
      </c>
      <c r="D105" s="21">
        <v>45777</v>
      </c>
      <c r="E105" s="20">
        <v>1</v>
      </c>
      <c r="F105" s="20">
        <v>2025</v>
      </c>
      <c r="G105" s="4" t="s">
        <v>621</v>
      </c>
      <c r="H105" s="23" t="s">
        <v>383</v>
      </c>
      <c r="I105" s="20" t="s">
        <v>384</v>
      </c>
      <c r="J105" s="67" t="s">
        <v>387</v>
      </c>
    </row>
    <row r="106" spans="1:10" x14ac:dyDescent="0.3">
      <c r="A106" s="54" t="s">
        <v>516</v>
      </c>
      <c r="B106" s="20" t="s">
        <v>394</v>
      </c>
      <c r="C106" s="22" t="s">
        <v>445</v>
      </c>
      <c r="D106" s="21">
        <v>45777</v>
      </c>
      <c r="E106" s="20">
        <v>1</v>
      </c>
      <c r="F106" s="20">
        <v>2025</v>
      </c>
      <c r="G106" s="4" t="s">
        <v>621</v>
      </c>
      <c r="H106" s="23" t="s">
        <v>383</v>
      </c>
      <c r="I106" s="20" t="s">
        <v>384</v>
      </c>
      <c r="J106" s="67" t="s">
        <v>387</v>
      </c>
    </row>
    <row r="107" spans="1:10" x14ac:dyDescent="0.3">
      <c r="A107" s="54" t="s">
        <v>558</v>
      </c>
      <c r="B107" s="20" t="s">
        <v>436</v>
      </c>
      <c r="C107" s="22" t="s">
        <v>445</v>
      </c>
      <c r="D107" s="21">
        <v>45777</v>
      </c>
      <c r="E107" s="20">
        <v>1</v>
      </c>
      <c r="F107" s="20">
        <v>2025</v>
      </c>
      <c r="G107" s="30" t="s">
        <v>619</v>
      </c>
      <c r="H107" s="23" t="s">
        <v>383</v>
      </c>
      <c r="I107" s="20" t="s">
        <v>384</v>
      </c>
      <c r="J107" s="67" t="s">
        <v>385</v>
      </c>
    </row>
    <row r="108" spans="1:10" x14ac:dyDescent="0.3">
      <c r="A108" s="54" t="s">
        <v>548</v>
      </c>
      <c r="B108" s="20" t="s">
        <v>426</v>
      </c>
      <c r="C108" s="22" t="s">
        <v>445</v>
      </c>
      <c r="D108" s="21">
        <v>45777</v>
      </c>
      <c r="E108" s="20">
        <v>1</v>
      </c>
      <c r="F108" s="20">
        <v>2025</v>
      </c>
      <c r="G108" s="4" t="s">
        <v>621</v>
      </c>
      <c r="H108" s="23" t="s">
        <v>383</v>
      </c>
      <c r="I108" s="20" t="s">
        <v>384</v>
      </c>
      <c r="J108" s="67" t="s">
        <v>390</v>
      </c>
    </row>
    <row r="109" spans="1:10" x14ac:dyDescent="0.3">
      <c r="A109" s="54" t="s">
        <v>554</v>
      </c>
      <c r="B109" s="20" t="s">
        <v>432</v>
      </c>
      <c r="C109" s="22" t="s">
        <v>445</v>
      </c>
      <c r="D109" s="21">
        <v>45777</v>
      </c>
      <c r="E109" s="20">
        <v>1</v>
      </c>
      <c r="F109" s="20">
        <v>2025</v>
      </c>
      <c r="G109" s="4" t="s">
        <v>621</v>
      </c>
      <c r="H109" s="23" t="s">
        <v>383</v>
      </c>
      <c r="I109" s="20" t="s">
        <v>384</v>
      </c>
      <c r="J109" s="67" t="s">
        <v>385</v>
      </c>
    </row>
    <row r="110" spans="1:10" x14ac:dyDescent="0.3">
      <c r="A110" s="54" t="s">
        <v>519</v>
      </c>
      <c r="B110" s="20" t="s">
        <v>397</v>
      </c>
      <c r="C110" s="22" t="s">
        <v>445</v>
      </c>
      <c r="D110" s="21">
        <v>45777</v>
      </c>
      <c r="E110" s="20">
        <v>1</v>
      </c>
      <c r="F110" s="20">
        <v>2025</v>
      </c>
      <c r="G110" s="30" t="s">
        <v>619</v>
      </c>
      <c r="H110" s="23" t="s">
        <v>383</v>
      </c>
      <c r="I110" s="20" t="s">
        <v>384</v>
      </c>
      <c r="J110" s="67" t="s">
        <v>387</v>
      </c>
    </row>
    <row r="111" spans="1:10" x14ac:dyDescent="0.3">
      <c r="A111" s="54" t="s">
        <v>525</v>
      </c>
      <c r="B111" s="20" t="s">
        <v>403</v>
      </c>
      <c r="C111" s="22" t="s">
        <v>445</v>
      </c>
      <c r="D111" s="21">
        <v>45777</v>
      </c>
      <c r="E111" s="20">
        <v>1</v>
      </c>
      <c r="F111" s="20">
        <v>2025</v>
      </c>
      <c r="G111" s="4" t="s">
        <v>621</v>
      </c>
      <c r="H111" s="23" t="s">
        <v>383</v>
      </c>
      <c r="I111" s="20" t="s">
        <v>384</v>
      </c>
      <c r="J111" s="67" t="s">
        <v>387</v>
      </c>
    </row>
    <row r="112" spans="1:10" x14ac:dyDescent="0.3">
      <c r="A112" s="54" t="s">
        <v>532</v>
      </c>
      <c r="B112" s="20" t="s">
        <v>410</v>
      </c>
      <c r="C112" s="22" t="s">
        <v>445</v>
      </c>
      <c r="D112" s="21">
        <v>45777</v>
      </c>
      <c r="E112" s="20">
        <v>1</v>
      </c>
      <c r="F112" s="20">
        <v>2025</v>
      </c>
      <c r="G112" s="4" t="s">
        <v>621</v>
      </c>
      <c r="H112" s="23" t="s">
        <v>383</v>
      </c>
      <c r="I112" s="20" t="s">
        <v>384</v>
      </c>
      <c r="J112" s="67" t="s">
        <v>390</v>
      </c>
    </row>
    <row r="113" spans="1:10" x14ac:dyDescent="0.3">
      <c r="A113" s="54" t="s">
        <v>538</v>
      </c>
      <c r="B113" s="20" t="s">
        <v>416</v>
      </c>
      <c r="C113" s="22" t="s">
        <v>445</v>
      </c>
      <c r="D113" s="21">
        <v>45777</v>
      </c>
      <c r="E113" s="20">
        <v>1</v>
      </c>
      <c r="F113" s="20">
        <v>2025</v>
      </c>
      <c r="G113" s="4" t="s">
        <v>621</v>
      </c>
      <c r="H113" s="23" t="s">
        <v>383</v>
      </c>
      <c r="I113" s="20" t="s">
        <v>384</v>
      </c>
      <c r="J113" s="67" t="s">
        <v>387</v>
      </c>
    </row>
    <row r="114" spans="1:10" x14ac:dyDescent="0.3">
      <c r="A114" s="54" t="s">
        <v>543</v>
      </c>
      <c r="B114" s="20" t="s">
        <v>421</v>
      </c>
      <c r="C114" s="22" t="s">
        <v>445</v>
      </c>
      <c r="D114" s="21">
        <v>45777</v>
      </c>
      <c r="E114" s="20">
        <v>1</v>
      </c>
      <c r="F114" s="20">
        <v>2025</v>
      </c>
      <c r="G114" s="30" t="s">
        <v>619</v>
      </c>
      <c r="H114" s="23" t="s">
        <v>383</v>
      </c>
      <c r="I114" s="20" t="s">
        <v>384</v>
      </c>
      <c r="J114" s="67" t="s">
        <v>390</v>
      </c>
    </row>
    <row r="115" spans="1:10" x14ac:dyDescent="0.3">
      <c r="A115" s="54" t="s">
        <v>549</v>
      </c>
      <c r="B115" s="20" t="s">
        <v>427</v>
      </c>
      <c r="C115" s="22" t="s">
        <v>445</v>
      </c>
      <c r="D115" s="21">
        <v>45777</v>
      </c>
      <c r="E115" s="20">
        <v>1</v>
      </c>
      <c r="F115" s="20">
        <v>2025</v>
      </c>
      <c r="G115" s="4" t="s">
        <v>621</v>
      </c>
      <c r="H115" s="23" t="s">
        <v>383</v>
      </c>
      <c r="I115" s="20" t="s">
        <v>384</v>
      </c>
      <c r="J115" s="67" t="s">
        <v>387</v>
      </c>
    </row>
    <row r="116" spans="1:10" x14ac:dyDescent="0.3">
      <c r="A116" s="54" t="s">
        <v>544</v>
      </c>
      <c r="B116" s="20" t="s">
        <v>422</v>
      </c>
      <c r="C116" s="22" t="s">
        <v>445</v>
      </c>
      <c r="D116" s="21">
        <v>45777</v>
      </c>
      <c r="E116" s="20">
        <v>1</v>
      </c>
      <c r="F116" s="20">
        <v>2025</v>
      </c>
      <c r="G116" s="4" t="s">
        <v>621</v>
      </c>
      <c r="H116" s="23" t="s">
        <v>383</v>
      </c>
      <c r="I116" s="20" t="s">
        <v>384</v>
      </c>
      <c r="J116" s="67" t="s">
        <v>390</v>
      </c>
    </row>
    <row r="117" spans="1:10" x14ac:dyDescent="0.3">
      <c r="A117" s="54" t="s">
        <v>574</v>
      </c>
      <c r="B117" s="20" t="s">
        <v>453</v>
      </c>
      <c r="C117" s="23" t="s">
        <v>445</v>
      </c>
      <c r="D117" s="21">
        <v>45777</v>
      </c>
      <c r="E117" s="20">
        <v>1</v>
      </c>
      <c r="F117" s="20">
        <v>2025</v>
      </c>
      <c r="G117" s="4" t="s">
        <v>621</v>
      </c>
      <c r="H117" s="23" t="s">
        <v>383</v>
      </c>
      <c r="I117" s="20" t="s">
        <v>384</v>
      </c>
      <c r="J117" s="67" t="s">
        <v>390</v>
      </c>
    </row>
    <row r="118" spans="1:10" x14ac:dyDescent="0.3">
      <c r="A118" s="54" t="s">
        <v>575</v>
      </c>
      <c r="B118" s="20" t="s">
        <v>454</v>
      </c>
      <c r="C118" s="22" t="s">
        <v>445</v>
      </c>
      <c r="D118" s="21">
        <v>45782</v>
      </c>
      <c r="E118" s="20">
        <v>1</v>
      </c>
      <c r="F118" s="20">
        <v>2025</v>
      </c>
      <c r="G118" s="30" t="s">
        <v>620</v>
      </c>
      <c r="H118" s="23" t="s">
        <v>383</v>
      </c>
      <c r="I118" s="20" t="s">
        <v>384</v>
      </c>
      <c r="J118" s="67" t="s">
        <v>387</v>
      </c>
    </row>
    <row r="119" spans="1:10" x14ac:dyDescent="0.3">
      <c r="A119" s="54" t="s">
        <v>576</v>
      </c>
      <c r="B119" s="20" t="s">
        <v>455</v>
      </c>
      <c r="C119" s="22" t="s">
        <v>445</v>
      </c>
      <c r="D119" s="21">
        <v>45782</v>
      </c>
      <c r="E119" s="20">
        <v>1</v>
      </c>
      <c r="F119" s="20">
        <v>2025</v>
      </c>
      <c r="G119" s="4" t="s">
        <v>621</v>
      </c>
      <c r="H119" s="23" t="s">
        <v>383</v>
      </c>
      <c r="I119" s="20" t="s">
        <v>384</v>
      </c>
      <c r="J119" s="67" t="s">
        <v>385</v>
      </c>
    </row>
    <row r="120" spans="1:10" x14ac:dyDescent="0.3">
      <c r="A120" s="54" t="s">
        <v>577</v>
      </c>
      <c r="B120" s="20" t="s">
        <v>456</v>
      </c>
      <c r="C120" s="22" t="s">
        <v>445</v>
      </c>
      <c r="D120" s="21">
        <v>45782</v>
      </c>
      <c r="E120" s="20">
        <v>1</v>
      </c>
      <c r="F120" s="20">
        <v>2025</v>
      </c>
      <c r="G120" s="4" t="s">
        <v>621</v>
      </c>
      <c r="H120" s="23" t="s">
        <v>383</v>
      </c>
      <c r="I120" s="20" t="s">
        <v>384</v>
      </c>
      <c r="J120" s="67" t="s">
        <v>385</v>
      </c>
    </row>
    <row r="121" spans="1:10" x14ac:dyDescent="0.3">
      <c r="A121" s="54" t="s">
        <v>563</v>
      </c>
      <c r="B121" s="20" t="s">
        <v>441</v>
      </c>
      <c r="C121" s="22" t="s">
        <v>445</v>
      </c>
      <c r="D121" s="21">
        <v>45782</v>
      </c>
      <c r="E121" s="20">
        <v>1</v>
      </c>
      <c r="F121" s="20">
        <v>2025</v>
      </c>
      <c r="G121" s="4" t="s">
        <v>621</v>
      </c>
      <c r="H121" s="23" t="s">
        <v>383</v>
      </c>
      <c r="I121" s="20" t="s">
        <v>384</v>
      </c>
      <c r="J121" s="67" t="s">
        <v>385</v>
      </c>
    </row>
    <row r="122" spans="1:10" x14ac:dyDescent="0.3">
      <c r="A122" s="54" t="s">
        <v>578</v>
      </c>
      <c r="B122" s="20" t="s">
        <v>457</v>
      </c>
      <c r="C122" s="22" t="s">
        <v>445</v>
      </c>
      <c r="D122" s="21">
        <v>45782</v>
      </c>
      <c r="E122" s="20">
        <v>1</v>
      </c>
      <c r="F122" s="20">
        <v>2025</v>
      </c>
      <c r="G122" s="4" t="s">
        <v>621</v>
      </c>
      <c r="H122" s="23" t="s">
        <v>383</v>
      </c>
      <c r="I122" s="20" t="s">
        <v>384</v>
      </c>
      <c r="J122" s="67" t="s">
        <v>385</v>
      </c>
    </row>
    <row r="123" spans="1:10" x14ac:dyDescent="0.3">
      <c r="A123" s="54" t="s">
        <v>529</v>
      </c>
      <c r="B123" s="20" t="s">
        <v>407</v>
      </c>
      <c r="C123" s="22" t="s">
        <v>445</v>
      </c>
      <c r="D123" s="21">
        <v>45783</v>
      </c>
      <c r="E123" s="20">
        <v>1</v>
      </c>
      <c r="F123" s="20">
        <v>2025</v>
      </c>
      <c r="G123" s="30" t="s">
        <v>619</v>
      </c>
      <c r="H123" s="23" t="s">
        <v>383</v>
      </c>
      <c r="I123" s="20" t="s">
        <v>384</v>
      </c>
      <c r="J123" s="67" t="s">
        <v>390</v>
      </c>
    </row>
    <row r="124" spans="1:10" x14ac:dyDescent="0.3">
      <c r="A124" s="54" t="s">
        <v>579</v>
      </c>
      <c r="B124" s="20" t="s">
        <v>458</v>
      </c>
      <c r="C124" s="22" t="s">
        <v>445</v>
      </c>
      <c r="D124" s="21">
        <v>45802</v>
      </c>
      <c r="E124" s="20">
        <v>1</v>
      </c>
      <c r="F124" s="20">
        <v>2025</v>
      </c>
      <c r="G124" s="4" t="s">
        <v>621</v>
      </c>
      <c r="H124" s="23" t="s">
        <v>383</v>
      </c>
      <c r="I124" s="20" t="s">
        <v>384</v>
      </c>
      <c r="J124" s="67" t="s">
        <v>387</v>
      </c>
    </row>
    <row r="125" spans="1:10" x14ac:dyDescent="0.3">
      <c r="A125" s="54" t="s">
        <v>580</v>
      </c>
      <c r="B125" s="20" t="s">
        <v>459</v>
      </c>
      <c r="C125" s="22" t="s">
        <v>445</v>
      </c>
      <c r="D125" s="21">
        <v>45803</v>
      </c>
      <c r="E125" s="20">
        <v>1</v>
      </c>
      <c r="F125" s="20">
        <v>2025</v>
      </c>
      <c r="G125" s="4" t="s">
        <v>621</v>
      </c>
      <c r="H125" s="23" t="s">
        <v>383</v>
      </c>
      <c r="I125" s="20" t="s">
        <v>384</v>
      </c>
      <c r="J125" s="67" t="s">
        <v>387</v>
      </c>
    </row>
    <row r="126" spans="1:10" x14ac:dyDescent="0.3">
      <c r="A126" s="54" t="s">
        <v>512</v>
      </c>
      <c r="B126" s="20" t="s">
        <v>389</v>
      </c>
      <c r="C126" s="22" t="s">
        <v>460</v>
      </c>
      <c r="D126" s="21">
        <v>45804</v>
      </c>
      <c r="E126" s="20">
        <v>1</v>
      </c>
      <c r="F126" s="20">
        <v>2025</v>
      </c>
      <c r="G126" s="30" t="s">
        <v>619</v>
      </c>
      <c r="H126" s="23" t="s">
        <v>383</v>
      </c>
      <c r="I126" s="20" t="s">
        <v>384</v>
      </c>
      <c r="J126" s="67" t="s">
        <v>390</v>
      </c>
    </row>
    <row r="127" spans="1:10" x14ac:dyDescent="0.3">
      <c r="A127" s="54" t="s">
        <v>541</v>
      </c>
      <c r="B127" s="20" t="s">
        <v>419</v>
      </c>
      <c r="C127" s="22" t="s">
        <v>460</v>
      </c>
      <c r="D127" s="21">
        <v>45804</v>
      </c>
      <c r="E127" s="20">
        <v>1</v>
      </c>
      <c r="F127" s="20">
        <v>2025</v>
      </c>
      <c r="G127" s="23" t="s">
        <v>619</v>
      </c>
      <c r="H127" s="23" t="s">
        <v>383</v>
      </c>
      <c r="I127" s="20" t="s">
        <v>384</v>
      </c>
      <c r="J127" s="67" t="s">
        <v>390</v>
      </c>
    </row>
    <row r="128" spans="1:10" x14ac:dyDescent="0.3">
      <c r="A128" s="54" t="s">
        <v>564</v>
      </c>
      <c r="B128" s="20" t="s">
        <v>442</v>
      </c>
      <c r="C128" s="22" t="s">
        <v>460</v>
      </c>
      <c r="D128" s="21">
        <v>45804</v>
      </c>
      <c r="E128" s="20">
        <v>1</v>
      </c>
      <c r="F128" s="20">
        <v>2025</v>
      </c>
      <c r="G128" s="23" t="s">
        <v>619</v>
      </c>
      <c r="H128" s="23" t="s">
        <v>383</v>
      </c>
      <c r="I128" s="20" t="s">
        <v>384</v>
      </c>
      <c r="J128" s="67" t="s">
        <v>385</v>
      </c>
    </row>
    <row r="129" spans="1:10" x14ac:dyDescent="0.3">
      <c r="A129" s="54" t="s">
        <v>511</v>
      </c>
      <c r="B129" s="20" t="s">
        <v>388</v>
      </c>
      <c r="C129" s="22" t="s">
        <v>460</v>
      </c>
      <c r="D129" s="21">
        <v>45804</v>
      </c>
      <c r="E129" s="20">
        <v>1</v>
      </c>
      <c r="F129" s="20">
        <v>2025</v>
      </c>
      <c r="G129" s="23" t="s">
        <v>619</v>
      </c>
      <c r="H129" s="23" t="s">
        <v>383</v>
      </c>
      <c r="I129" s="20" t="s">
        <v>384</v>
      </c>
      <c r="J129" s="67" t="s">
        <v>387</v>
      </c>
    </row>
    <row r="130" spans="1:10" x14ac:dyDescent="0.3">
      <c r="A130" s="54" t="s">
        <v>558</v>
      </c>
      <c r="B130" s="20" t="s">
        <v>436</v>
      </c>
      <c r="C130" s="22" t="s">
        <v>460</v>
      </c>
      <c r="D130" s="21">
        <v>45804</v>
      </c>
      <c r="E130" s="20">
        <v>1</v>
      </c>
      <c r="F130" s="20">
        <v>2025</v>
      </c>
      <c r="G130" s="23" t="s">
        <v>619</v>
      </c>
      <c r="H130" s="23" t="s">
        <v>383</v>
      </c>
      <c r="I130" s="20" t="s">
        <v>384</v>
      </c>
      <c r="J130" s="67" t="s">
        <v>385</v>
      </c>
    </row>
    <row r="131" spans="1:10" x14ac:dyDescent="0.3">
      <c r="A131" s="54" t="s">
        <v>581</v>
      </c>
      <c r="B131" s="20" t="s">
        <v>461</v>
      </c>
      <c r="C131" s="22" t="s">
        <v>445</v>
      </c>
      <c r="D131" s="21">
        <v>45804</v>
      </c>
      <c r="E131" s="20">
        <v>1</v>
      </c>
      <c r="F131" s="20">
        <v>2025</v>
      </c>
      <c r="G131" s="4" t="s">
        <v>621</v>
      </c>
      <c r="H131" s="23" t="s">
        <v>383</v>
      </c>
      <c r="I131" s="20" t="s">
        <v>384</v>
      </c>
      <c r="J131" s="67" t="s">
        <v>385</v>
      </c>
    </row>
    <row r="132" spans="1:10" x14ac:dyDescent="0.3">
      <c r="A132" s="54" t="s">
        <v>534</v>
      </c>
      <c r="B132" s="20" t="s">
        <v>412</v>
      </c>
      <c r="C132" s="22" t="s">
        <v>460</v>
      </c>
      <c r="D132" s="21">
        <v>45805</v>
      </c>
      <c r="E132" s="20">
        <v>1</v>
      </c>
      <c r="F132" s="20">
        <v>2025</v>
      </c>
      <c r="G132" s="30" t="s">
        <v>619</v>
      </c>
      <c r="H132" s="23" t="s">
        <v>383</v>
      </c>
      <c r="I132" s="20" t="s">
        <v>384</v>
      </c>
      <c r="J132" s="67" t="s">
        <v>387</v>
      </c>
    </row>
    <row r="133" spans="1:10" x14ac:dyDescent="0.3">
      <c r="A133" s="54" t="s">
        <v>557</v>
      </c>
      <c r="B133" s="20" t="s">
        <v>435</v>
      </c>
      <c r="C133" s="22" t="s">
        <v>460</v>
      </c>
      <c r="D133" s="21">
        <v>45805</v>
      </c>
      <c r="E133" s="20">
        <v>1</v>
      </c>
      <c r="F133" s="20">
        <v>2025</v>
      </c>
      <c r="G133" s="23" t="s">
        <v>619</v>
      </c>
      <c r="H133" s="23" t="s">
        <v>383</v>
      </c>
      <c r="I133" s="20" t="s">
        <v>384</v>
      </c>
      <c r="J133" s="67" t="s">
        <v>385</v>
      </c>
    </row>
    <row r="134" spans="1:10" x14ac:dyDescent="0.3">
      <c r="A134" s="54" t="s">
        <v>518</v>
      </c>
      <c r="B134" s="20" t="s">
        <v>396</v>
      </c>
      <c r="C134" s="22" t="s">
        <v>460</v>
      </c>
      <c r="D134" s="21">
        <v>45805</v>
      </c>
      <c r="E134" s="20">
        <v>1</v>
      </c>
      <c r="F134" s="20">
        <v>2025</v>
      </c>
      <c r="G134" s="23" t="s">
        <v>619</v>
      </c>
      <c r="H134" s="23" t="s">
        <v>383</v>
      </c>
      <c r="I134" s="20" t="s">
        <v>384</v>
      </c>
      <c r="J134" s="67" t="s">
        <v>387</v>
      </c>
    </row>
    <row r="135" spans="1:10" x14ac:dyDescent="0.3">
      <c r="A135" s="54" t="s">
        <v>519</v>
      </c>
      <c r="B135" s="20" t="s">
        <v>397</v>
      </c>
      <c r="C135" s="22" t="s">
        <v>460</v>
      </c>
      <c r="D135" s="21">
        <v>45805</v>
      </c>
      <c r="E135" s="20">
        <v>1</v>
      </c>
      <c r="F135" s="20">
        <v>2025</v>
      </c>
      <c r="G135" s="23" t="s">
        <v>619</v>
      </c>
      <c r="H135" s="23" t="s">
        <v>383</v>
      </c>
      <c r="I135" s="20" t="s">
        <v>384</v>
      </c>
      <c r="J135" s="67" t="s">
        <v>387</v>
      </c>
    </row>
    <row r="136" spans="1:10" x14ac:dyDescent="0.3">
      <c r="A136" s="54" t="s">
        <v>582</v>
      </c>
      <c r="B136" s="20" t="s">
        <v>462</v>
      </c>
      <c r="C136" s="23" t="s">
        <v>463</v>
      </c>
      <c r="D136" s="21">
        <v>45981</v>
      </c>
      <c r="E136" s="20">
        <v>1</v>
      </c>
      <c r="F136" s="20">
        <v>2025</v>
      </c>
      <c r="G136" s="23" t="s">
        <v>620</v>
      </c>
      <c r="H136" s="23" t="s">
        <v>383</v>
      </c>
      <c r="I136" s="20" t="s">
        <v>384</v>
      </c>
      <c r="J136" s="67" t="s">
        <v>390</v>
      </c>
    </row>
    <row r="137" spans="1:10" x14ac:dyDescent="0.3">
      <c r="A137" s="54" t="s">
        <v>552</v>
      </c>
      <c r="B137" s="20" t="s">
        <v>430</v>
      </c>
      <c r="C137" s="23" t="s">
        <v>460</v>
      </c>
      <c r="D137" s="21">
        <v>45830</v>
      </c>
      <c r="E137" s="20">
        <v>1</v>
      </c>
      <c r="F137" s="20">
        <v>2025</v>
      </c>
      <c r="G137" s="4" t="s">
        <v>621</v>
      </c>
      <c r="H137" s="23" t="s">
        <v>383</v>
      </c>
      <c r="I137" s="20" t="s">
        <v>384</v>
      </c>
      <c r="J137" s="67" t="s">
        <v>387</v>
      </c>
    </row>
    <row r="138" spans="1:10" x14ac:dyDescent="0.3">
      <c r="A138" s="54" t="s">
        <v>550</v>
      </c>
      <c r="B138" s="20" t="s">
        <v>428</v>
      </c>
      <c r="C138" s="23" t="s">
        <v>460</v>
      </c>
      <c r="D138" s="21">
        <v>45830</v>
      </c>
      <c r="E138" s="20">
        <v>1</v>
      </c>
      <c r="F138" s="20">
        <v>2025</v>
      </c>
      <c r="G138" s="4" t="s">
        <v>621</v>
      </c>
      <c r="H138" s="23" t="s">
        <v>383</v>
      </c>
      <c r="I138" s="20" t="s">
        <v>384</v>
      </c>
      <c r="J138" s="67" t="s">
        <v>387</v>
      </c>
    </row>
    <row r="139" spans="1:10" x14ac:dyDescent="0.3">
      <c r="A139" s="54" t="s">
        <v>551</v>
      </c>
      <c r="B139" s="20" t="s">
        <v>429</v>
      </c>
      <c r="C139" s="23" t="s">
        <v>460</v>
      </c>
      <c r="D139" s="21">
        <v>45830</v>
      </c>
      <c r="E139" s="20">
        <v>1</v>
      </c>
      <c r="F139" s="20">
        <v>2025</v>
      </c>
      <c r="G139" s="4" t="s">
        <v>621</v>
      </c>
      <c r="H139" s="23" t="s">
        <v>383</v>
      </c>
      <c r="I139" s="20" t="s">
        <v>384</v>
      </c>
      <c r="J139" s="67" t="s">
        <v>387</v>
      </c>
    </row>
    <row r="140" spans="1:10" x14ac:dyDescent="0.3">
      <c r="A140" s="54" t="s">
        <v>512</v>
      </c>
      <c r="B140" s="20" t="s">
        <v>389</v>
      </c>
      <c r="C140" s="23" t="s">
        <v>464</v>
      </c>
      <c r="D140" s="24">
        <v>45830</v>
      </c>
      <c r="E140" s="20">
        <v>1</v>
      </c>
      <c r="F140" s="20">
        <v>2025</v>
      </c>
      <c r="G140" s="30" t="s">
        <v>619</v>
      </c>
      <c r="H140" s="23" t="s">
        <v>383</v>
      </c>
      <c r="I140" s="20" t="s">
        <v>384</v>
      </c>
      <c r="J140" s="67" t="s">
        <v>390</v>
      </c>
    </row>
    <row r="141" spans="1:10" x14ac:dyDescent="0.3">
      <c r="A141" s="54" t="s">
        <v>564</v>
      </c>
      <c r="B141" s="20" t="s">
        <v>442</v>
      </c>
      <c r="C141" s="23" t="s">
        <v>464</v>
      </c>
      <c r="D141" s="24">
        <v>45830</v>
      </c>
      <c r="E141" s="20">
        <v>1</v>
      </c>
      <c r="F141" s="20">
        <v>2025</v>
      </c>
      <c r="G141" s="23" t="s">
        <v>619</v>
      </c>
      <c r="H141" s="23" t="s">
        <v>383</v>
      </c>
      <c r="I141" s="20" t="s">
        <v>384</v>
      </c>
      <c r="J141" s="67" t="s">
        <v>385</v>
      </c>
    </row>
    <row r="142" spans="1:10" x14ac:dyDescent="0.3">
      <c r="A142" s="54" t="s">
        <v>510</v>
      </c>
      <c r="B142" s="20" t="s">
        <v>381</v>
      </c>
      <c r="C142" s="23" t="s">
        <v>464</v>
      </c>
      <c r="D142" s="24">
        <v>45830</v>
      </c>
      <c r="E142" s="20">
        <v>1</v>
      </c>
      <c r="F142" s="20">
        <v>2025</v>
      </c>
      <c r="G142" s="23" t="s">
        <v>619</v>
      </c>
      <c r="H142" s="23" t="s">
        <v>383</v>
      </c>
      <c r="I142" s="20" t="s">
        <v>384</v>
      </c>
      <c r="J142" s="67" t="s">
        <v>385</v>
      </c>
    </row>
    <row r="143" spans="1:10" x14ac:dyDescent="0.3">
      <c r="A143" s="54" t="s">
        <v>550</v>
      </c>
      <c r="B143" s="20" t="s">
        <v>428</v>
      </c>
      <c r="C143" s="23" t="s">
        <v>464</v>
      </c>
      <c r="D143" s="24">
        <v>45830</v>
      </c>
      <c r="E143" s="20">
        <v>1</v>
      </c>
      <c r="F143" s="20">
        <v>2025</v>
      </c>
      <c r="G143" s="4" t="s">
        <v>621</v>
      </c>
      <c r="H143" s="23" t="s">
        <v>383</v>
      </c>
      <c r="I143" s="20" t="s">
        <v>384</v>
      </c>
      <c r="J143" s="67" t="s">
        <v>387</v>
      </c>
    </row>
    <row r="144" spans="1:10" x14ac:dyDescent="0.3">
      <c r="A144" s="54" t="s">
        <v>518</v>
      </c>
      <c r="B144" s="20" t="s">
        <v>396</v>
      </c>
      <c r="C144" s="23" t="s">
        <v>464</v>
      </c>
      <c r="D144" s="24">
        <v>45830</v>
      </c>
      <c r="E144" s="20">
        <v>1</v>
      </c>
      <c r="F144" s="20">
        <v>2025</v>
      </c>
      <c r="G144" s="30" t="s">
        <v>619</v>
      </c>
      <c r="H144" s="23" t="s">
        <v>383</v>
      </c>
      <c r="I144" s="20" t="s">
        <v>384</v>
      </c>
      <c r="J144" s="67" t="s">
        <v>387</v>
      </c>
    </row>
    <row r="145" spans="1:10" x14ac:dyDescent="0.3">
      <c r="A145" s="54" t="s">
        <v>512</v>
      </c>
      <c r="B145" s="20" t="s">
        <v>389</v>
      </c>
      <c r="C145" s="23" t="s">
        <v>465</v>
      </c>
      <c r="D145" s="24">
        <v>45830</v>
      </c>
      <c r="E145" s="20">
        <v>1</v>
      </c>
      <c r="F145" s="20">
        <v>2025</v>
      </c>
      <c r="G145" s="23" t="s">
        <v>619</v>
      </c>
      <c r="H145" s="23" t="s">
        <v>383</v>
      </c>
      <c r="I145" s="20" t="s">
        <v>384</v>
      </c>
      <c r="J145" s="67" t="s">
        <v>390</v>
      </c>
    </row>
    <row r="146" spans="1:10" x14ac:dyDescent="0.3">
      <c r="A146" s="54" t="s">
        <v>564</v>
      </c>
      <c r="B146" s="20" t="s">
        <v>442</v>
      </c>
      <c r="C146" s="23" t="s">
        <v>465</v>
      </c>
      <c r="D146" s="24">
        <v>45830</v>
      </c>
      <c r="E146" s="20">
        <v>1</v>
      </c>
      <c r="F146" s="20">
        <v>2025</v>
      </c>
      <c r="G146" s="23" t="s">
        <v>619</v>
      </c>
      <c r="H146" s="23" t="s">
        <v>383</v>
      </c>
      <c r="I146" s="20" t="s">
        <v>384</v>
      </c>
      <c r="J146" s="67" t="s">
        <v>385</v>
      </c>
    </row>
    <row r="147" spans="1:10" x14ac:dyDescent="0.3">
      <c r="A147" s="54" t="s">
        <v>542</v>
      </c>
      <c r="B147" s="20" t="s">
        <v>420</v>
      </c>
      <c r="C147" s="23" t="s">
        <v>460</v>
      </c>
      <c r="D147" s="21">
        <v>45831</v>
      </c>
      <c r="E147" s="20">
        <v>1</v>
      </c>
      <c r="F147" s="20">
        <v>2025</v>
      </c>
      <c r="G147" s="23" t="s">
        <v>619</v>
      </c>
      <c r="H147" s="23" t="s">
        <v>383</v>
      </c>
      <c r="I147" s="20" t="s">
        <v>384</v>
      </c>
      <c r="J147" s="67" t="s">
        <v>390</v>
      </c>
    </row>
    <row r="148" spans="1:10" x14ac:dyDescent="0.3">
      <c r="A148" s="54" t="s">
        <v>554</v>
      </c>
      <c r="B148" s="20" t="s">
        <v>432</v>
      </c>
      <c r="C148" s="23" t="s">
        <v>460</v>
      </c>
      <c r="D148" s="21">
        <v>45831</v>
      </c>
      <c r="E148" s="20">
        <v>1</v>
      </c>
      <c r="F148" s="20">
        <v>2025</v>
      </c>
      <c r="G148" s="4" t="s">
        <v>621</v>
      </c>
      <c r="H148" s="23" t="s">
        <v>383</v>
      </c>
      <c r="I148" s="20" t="s">
        <v>384</v>
      </c>
      <c r="J148" s="67" t="s">
        <v>385</v>
      </c>
    </row>
    <row r="149" spans="1:10" x14ac:dyDescent="0.3">
      <c r="A149" s="54" t="s">
        <v>529</v>
      </c>
      <c r="B149" s="20" t="s">
        <v>407</v>
      </c>
      <c r="C149" s="23" t="s">
        <v>460</v>
      </c>
      <c r="D149" s="21">
        <v>45831</v>
      </c>
      <c r="E149" s="20">
        <v>1</v>
      </c>
      <c r="F149" s="20">
        <v>2025</v>
      </c>
      <c r="G149" s="30" t="s">
        <v>619</v>
      </c>
      <c r="H149" s="23" t="s">
        <v>383</v>
      </c>
      <c r="I149" s="20" t="s">
        <v>384</v>
      </c>
      <c r="J149" s="67" t="s">
        <v>390</v>
      </c>
    </row>
    <row r="150" spans="1:10" x14ac:dyDescent="0.3">
      <c r="A150" s="54" t="s">
        <v>543</v>
      </c>
      <c r="B150" s="20" t="s">
        <v>421</v>
      </c>
      <c r="C150" s="23" t="s">
        <v>460</v>
      </c>
      <c r="D150" s="21">
        <v>45831</v>
      </c>
      <c r="E150" s="20">
        <v>1</v>
      </c>
      <c r="F150" s="20">
        <v>2025</v>
      </c>
      <c r="G150" s="23" t="s">
        <v>619</v>
      </c>
      <c r="H150" s="23" t="s">
        <v>383</v>
      </c>
      <c r="I150" s="20" t="s">
        <v>384</v>
      </c>
      <c r="J150" s="67" t="s">
        <v>390</v>
      </c>
    </row>
    <row r="151" spans="1:10" x14ac:dyDescent="0.3">
      <c r="A151" s="54" t="s">
        <v>534</v>
      </c>
      <c r="B151" s="20" t="s">
        <v>412</v>
      </c>
      <c r="C151" s="23" t="s">
        <v>464</v>
      </c>
      <c r="D151" s="21">
        <v>45831</v>
      </c>
      <c r="E151" s="20">
        <v>1</v>
      </c>
      <c r="F151" s="20">
        <v>2025</v>
      </c>
      <c r="G151" s="23" t="s">
        <v>619</v>
      </c>
      <c r="H151" s="23" t="s">
        <v>383</v>
      </c>
      <c r="I151" s="20" t="s">
        <v>384</v>
      </c>
      <c r="J151" s="67" t="s">
        <v>387</v>
      </c>
    </row>
    <row r="152" spans="1:10" x14ac:dyDescent="0.3">
      <c r="A152" s="54" t="s">
        <v>557</v>
      </c>
      <c r="B152" s="20" t="s">
        <v>435</v>
      </c>
      <c r="C152" s="23" t="s">
        <v>464</v>
      </c>
      <c r="D152" s="21">
        <v>45831</v>
      </c>
      <c r="E152" s="20">
        <v>1</v>
      </c>
      <c r="F152" s="20">
        <v>2025</v>
      </c>
      <c r="G152" s="23" t="s">
        <v>619</v>
      </c>
      <c r="H152" s="23" t="s">
        <v>383</v>
      </c>
      <c r="I152" s="20" t="s">
        <v>384</v>
      </c>
      <c r="J152" s="67" t="s">
        <v>385</v>
      </c>
    </row>
    <row r="153" spans="1:10" x14ac:dyDescent="0.3">
      <c r="A153" s="54" t="s">
        <v>531</v>
      </c>
      <c r="B153" s="20" t="s">
        <v>409</v>
      </c>
      <c r="C153" s="23" t="s">
        <v>464</v>
      </c>
      <c r="D153" s="21">
        <v>45831</v>
      </c>
      <c r="E153" s="20">
        <v>1</v>
      </c>
      <c r="F153" s="20">
        <v>2025</v>
      </c>
      <c r="G153" s="4" t="s">
        <v>621</v>
      </c>
      <c r="H153" s="23" t="s">
        <v>383</v>
      </c>
      <c r="I153" s="20" t="s">
        <v>384</v>
      </c>
      <c r="J153" s="67" t="s">
        <v>390</v>
      </c>
    </row>
    <row r="154" spans="1:10" x14ac:dyDescent="0.3">
      <c r="A154" s="54" t="s">
        <v>511</v>
      </c>
      <c r="B154" s="20" t="s">
        <v>388</v>
      </c>
      <c r="C154" s="23" t="s">
        <v>464</v>
      </c>
      <c r="D154" s="21">
        <v>45831</v>
      </c>
      <c r="E154" s="20">
        <v>1</v>
      </c>
      <c r="F154" s="20">
        <v>2025</v>
      </c>
      <c r="G154" s="30" t="s">
        <v>619</v>
      </c>
      <c r="H154" s="23" t="s">
        <v>383</v>
      </c>
      <c r="I154" s="20" t="s">
        <v>384</v>
      </c>
      <c r="J154" s="67" t="s">
        <v>387</v>
      </c>
    </row>
    <row r="155" spans="1:10" x14ac:dyDescent="0.3">
      <c r="A155" s="54" t="s">
        <v>551</v>
      </c>
      <c r="B155" s="20" t="s">
        <v>429</v>
      </c>
      <c r="C155" s="23" t="s">
        <v>464</v>
      </c>
      <c r="D155" s="21">
        <v>45831</v>
      </c>
      <c r="E155" s="20">
        <v>1</v>
      </c>
      <c r="F155" s="20">
        <v>2025</v>
      </c>
      <c r="G155" s="4" t="s">
        <v>621</v>
      </c>
      <c r="H155" s="23" t="s">
        <v>383</v>
      </c>
      <c r="I155" s="20" t="s">
        <v>384</v>
      </c>
      <c r="J155" s="67" t="s">
        <v>387</v>
      </c>
    </row>
    <row r="156" spans="1:10" x14ac:dyDescent="0.3">
      <c r="A156" s="54" t="s">
        <v>529</v>
      </c>
      <c r="B156" s="20" t="s">
        <v>407</v>
      </c>
      <c r="C156" s="23" t="s">
        <v>464</v>
      </c>
      <c r="D156" s="21">
        <v>45831</v>
      </c>
      <c r="E156" s="20">
        <v>1</v>
      </c>
      <c r="F156" s="20">
        <v>2025</v>
      </c>
      <c r="G156" s="30" t="s">
        <v>619</v>
      </c>
      <c r="H156" s="23" t="s">
        <v>383</v>
      </c>
      <c r="I156" s="20" t="s">
        <v>384</v>
      </c>
      <c r="J156" s="67" t="s">
        <v>390</v>
      </c>
    </row>
    <row r="157" spans="1:10" x14ac:dyDescent="0.3">
      <c r="A157" s="54" t="s">
        <v>531</v>
      </c>
      <c r="B157" s="20" t="s">
        <v>409</v>
      </c>
      <c r="C157" s="23" t="s">
        <v>465</v>
      </c>
      <c r="D157" s="21">
        <v>45831</v>
      </c>
      <c r="E157" s="20">
        <v>1</v>
      </c>
      <c r="F157" s="20">
        <v>2025</v>
      </c>
      <c r="G157" s="4" t="s">
        <v>621</v>
      </c>
      <c r="H157" s="23" t="s">
        <v>383</v>
      </c>
      <c r="I157" s="20" t="s">
        <v>384</v>
      </c>
      <c r="J157" s="67" t="s">
        <v>390</v>
      </c>
    </row>
    <row r="158" spans="1:10" x14ac:dyDescent="0.3">
      <c r="A158" s="54" t="s">
        <v>511</v>
      </c>
      <c r="B158" s="20" t="s">
        <v>388</v>
      </c>
      <c r="C158" s="23" t="s">
        <v>465</v>
      </c>
      <c r="D158" s="21">
        <v>45831</v>
      </c>
      <c r="E158" s="20">
        <v>1</v>
      </c>
      <c r="F158" s="20">
        <v>2025</v>
      </c>
      <c r="G158" s="30" t="s">
        <v>619</v>
      </c>
      <c r="H158" s="23" t="s">
        <v>383</v>
      </c>
      <c r="I158" s="20" t="s">
        <v>384</v>
      </c>
      <c r="J158" s="67" t="s">
        <v>387</v>
      </c>
    </row>
    <row r="159" spans="1:10" x14ac:dyDescent="0.3">
      <c r="A159" s="54" t="s">
        <v>531</v>
      </c>
      <c r="B159" s="20" t="s">
        <v>409</v>
      </c>
      <c r="C159" s="23" t="s">
        <v>460</v>
      </c>
      <c r="D159" s="21">
        <v>45832</v>
      </c>
      <c r="E159" s="20">
        <v>1</v>
      </c>
      <c r="F159" s="20">
        <v>2025</v>
      </c>
      <c r="G159" s="4" t="s">
        <v>621</v>
      </c>
      <c r="H159" s="23" t="s">
        <v>383</v>
      </c>
      <c r="I159" s="20" t="s">
        <v>384</v>
      </c>
      <c r="J159" s="67" t="s">
        <v>390</v>
      </c>
    </row>
    <row r="160" spans="1:10" x14ac:dyDescent="0.3">
      <c r="A160" s="54" t="s">
        <v>583</v>
      </c>
      <c r="B160" s="20" t="s">
        <v>466</v>
      </c>
      <c r="C160" s="23" t="s">
        <v>445</v>
      </c>
      <c r="D160" s="21">
        <v>45833</v>
      </c>
      <c r="E160" s="20">
        <v>1</v>
      </c>
      <c r="F160" s="20">
        <v>2025</v>
      </c>
      <c r="G160" s="4" t="s">
        <v>621</v>
      </c>
      <c r="H160" s="23" t="s">
        <v>383</v>
      </c>
      <c r="I160" s="20" t="s">
        <v>384</v>
      </c>
      <c r="J160" s="67" t="s">
        <v>387</v>
      </c>
    </row>
    <row r="161" spans="1:10" x14ac:dyDescent="0.3">
      <c r="A161" s="54" t="s">
        <v>532</v>
      </c>
      <c r="B161" s="20" t="s">
        <v>410</v>
      </c>
      <c r="C161" s="23" t="s">
        <v>460</v>
      </c>
      <c r="D161" s="21">
        <v>45834</v>
      </c>
      <c r="E161" s="20">
        <v>1</v>
      </c>
      <c r="F161" s="20">
        <v>2025</v>
      </c>
      <c r="G161" s="4" t="s">
        <v>621</v>
      </c>
      <c r="H161" s="23" t="s">
        <v>383</v>
      </c>
      <c r="I161" s="20" t="s">
        <v>384</v>
      </c>
      <c r="J161" s="67" t="s">
        <v>390</v>
      </c>
    </row>
    <row r="162" spans="1:10" x14ac:dyDescent="0.3">
      <c r="A162" s="54" t="s">
        <v>566</v>
      </c>
      <c r="B162" s="20" t="s">
        <v>444</v>
      </c>
      <c r="C162" s="23" t="s">
        <v>465</v>
      </c>
      <c r="D162" s="21">
        <v>45878</v>
      </c>
      <c r="E162" s="20">
        <v>1</v>
      </c>
      <c r="F162" s="20">
        <v>2025</v>
      </c>
      <c r="G162" s="4" t="s">
        <v>621</v>
      </c>
      <c r="H162" s="23" t="s">
        <v>383</v>
      </c>
      <c r="I162" s="20" t="s">
        <v>384</v>
      </c>
      <c r="J162" s="67" t="s">
        <v>385</v>
      </c>
    </row>
    <row r="163" spans="1:10" x14ac:dyDescent="0.3">
      <c r="A163" s="54" t="s">
        <v>521</v>
      </c>
      <c r="B163" s="20" t="s">
        <v>399</v>
      </c>
      <c r="C163" s="23" t="s">
        <v>465</v>
      </c>
      <c r="D163" s="21">
        <v>45878</v>
      </c>
      <c r="E163" s="20">
        <v>1</v>
      </c>
      <c r="F163" s="20">
        <v>2025</v>
      </c>
      <c r="G163" s="4" t="s">
        <v>621</v>
      </c>
      <c r="H163" s="23" t="s">
        <v>383</v>
      </c>
      <c r="I163" s="20" t="s">
        <v>384</v>
      </c>
      <c r="J163" s="67" t="s">
        <v>387</v>
      </c>
    </row>
    <row r="164" spans="1:10" x14ac:dyDescent="0.3">
      <c r="A164" s="54" t="s">
        <v>518</v>
      </c>
      <c r="B164" s="20" t="s">
        <v>396</v>
      </c>
      <c r="C164" s="23" t="s">
        <v>465</v>
      </c>
      <c r="D164" s="21">
        <v>45878</v>
      </c>
      <c r="E164" s="20">
        <v>1</v>
      </c>
      <c r="F164" s="20">
        <v>2025</v>
      </c>
      <c r="G164" s="30" t="s">
        <v>619</v>
      </c>
      <c r="H164" s="23" t="s">
        <v>383</v>
      </c>
      <c r="I164" s="20" t="s">
        <v>384</v>
      </c>
      <c r="J164" s="67" t="s">
        <v>387</v>
      </c>
    </row>
    <row r="165" spans="1:10" x14ac:dyDescent="0.3">
      <c r="A165" s="54" t="s">
        <v>516</v>
      </c>
      <c r="B165" s="20" t="s">
        <v>394</v>
      </c>
      <c r="C165" s="23" t="s">
        <v>465</v>
      </c>
      <c r="D165" s="21">
        <v>45878</v>
      </c>
      <c r="E165" s="20">
        <v>1</v>
      </c>
      <c r="F165" s="20">
        <v>2025</v>
      </c>
      <c r="G165" s="4" t="s">
        <v>621</v>
      </c>
      <c r="H165" s="23" t="s">
        <v>383</v>
      </c>
      <c r="I165" s="20" t="s">
        <v>384</v>
      </c>
      <c r="J165" s="67" t="s">
        <v>387</v>
      </c>
    </row>
    <row r="166" spans="1:10" x14ac:dyDescent="0.3">
      <c r="A166" s="54" t="s">
        <v>558</v>
      </c>
      <c r="B166" s="20" t="s">
        <v>436</v>
      </c>
      <c r="C166" s="23" t="s">
        <v>465</v>
      </c>
      <c r="D166" s="21">
        <v>45878</v>
      </c>
      <c r="E166" s="20">
        <v>1</v>
      </c>
      <c r="F166" s="20">
        <v>2025</v>
      </c>
      <c r="G166" s="30" t="s">
        <v>619</v>
      </c>
      <c r="H166" s="23" t="s">
        <v>383</v>
      </c>
      <c r="I166" s="20" t="s">
        <v>384</v>
      </c>
      <c r="J166" s="67" t="s">
        <v>385</v>
      </c>
    </row>
    <row r="167" spans="1:10" x14ac:dyDescent="0.3">
      <c r="A167" s="54" t="s">
        <v>584</v>
      </c>
      <c r="B167" s="25" t="s">
        <v>467</v>
      </c>
      <c r="C167" s="23" t="s">
        <v>465</v>
      </c>
      <c r="D167" s="21">
        <v>45878</v>
      </c>
      <c r="E167" s="20">
        <v>1</v>
      </c>
      <c r="F167" s="20">
        <v>2025</v>
      </c>
      <c r="G167" s="23" t="s">
        <v>619</v>
      </c>
      <c r="H167" s="23" t="s">
        <v>383</v>
      </c>
      <c r="I167" s="20" t="s">
        <v>384</v>
      </c>
      <c r="J167" s="67" t="s">
        <v>385</v>
      </c>
    </row>
    <row r="168" spans="1:10" x14ac:dyDescent="0.3">
      <c r="A168" s="54" t="s">
        <v>514</v>
      </c>
      <c r="B168" s="20" t="s">
        <v>392</v>
      </c>
      <c r="C168" s="23" t="s">
        <v>464</v>
      </c>
      <c r="D168" s="21">
        <v>45878</v>
      </c>
      <c r="E168" s="20">
        <v>1</v>
      </c>
      <c r="F168" s="20">
        <v>2025</v>
      </c>
      <c r="G168" s="4" t="s">
        <v>621</v>
      </c>
      <c r="H168" s="23" t="s">
        <v>383</v>
      </c>
      <c r="I168" s="20" t="s">
        <v>384</v>
      </c>
      <c r="J168" s="67" t="s">
        <v>387</v>
      </c>
    </row>
    <row r="169" spans="1:10" x14ac:dyDescent="0.3">
      <c r="A169" s="54" t="s">
        <v>520</v>
      </c>
      <c r="B169" s="20" t="s">
        <v>398</v>
      </c>
      <c r="C169" s="23" t="s">
        <v>464</v>
      </c>
      <c r="D169" s="21">
        <v>45878</v>
      </c>
      <c r="E169" s="20">
        <v>1</v>
      </c>
      <c r="F169" s="20">
        <v>2025</v>
      </c>
      <c r="G169" s="4" t="s">
        <v>621</v>
      </c>
      <c r="H169" s="23" t="s">
        <v>383</v>
      </c>
      <c r="I169" s="20" t="s">
        <v>384</v>
      </c>
      <c r="J169" s="67" t="s">
        <v>387</v>
      </c>
    </row>
    <row r="170" spans="1:10" x14ac:dyDescent="0.3">
      <c r="A170" s="54" t="s">
        <v>515</v>
      </c>
      <c r="B170" s="20" t="s">
        <v>393</v>
      </c>
      <c r="C170" s="23" t="s">
        <v>464</v>
      </c>
      <c r="D170" s="21">
        <v>45878</v>
      </c>
      <c r="E170" s="20">
        <v>1</v>
      </c>
      <c r="F170" s="20">
        <v>2025</v>
      </c>
      <c r="G170" s="4" t="s">
        <v>621</v>
      </c>
      <c r="H170" s="23" t="s">
        <v>383</v>
      </c>
      <c r="I170" s="20" t="s">
        <v>384</v>
      </c>
      <c r="J170" s="67" t="s">
        <v>387</v>
      </c>
    </row>
    <row r="171" spans="1:10" x14ac:dyDescent="0.3">
      <c r="A171" s="54" t="s">
        <v>584</v>
      </c>
      <c r="B171" s="25" t="s">
        <v>467</v>
      </c>
      <c r="C171" s="23" t="s">
        <v>464</v>
      </c>
      <c r="D171" s="21">
        <v>45878</v>
      </c>
      <c r="E171" s="20">
        <v>1</v>
      </c>
      <c r="F171" s="20">
        <v>2025</v>
      </c>
      <c r="G171" s="23" t="s">
        <v>619</v>
      </c>
      <c r="H171" s="23" t="s">
        <v>383</v>
      </c>
      <c r="I171" s="20" t="s">
        <v>384</v>
      </c>
      <c r="J171" s="67" t="s">
        <v>385</v>
      </c>
    </row>
    <row r="172" spans="1:10" x14ac:dyDescent="0.3">
      <c r="A172" s="54" t="s">
        <v>521</v>
      </c>
      <c r="B172" s="20" t="s">
        <v>399</v>
      </c>
      <c r="C172" s="23" t="s">
        <v>460</v>
      </c>
      <c r="D172" s="21">
        <v>45878</v>
      </c>
      <c r="E172" s="20">
        <v>1</v>
      </c>
      <c r="F172" s="20">
        <v>2025</v>
      </c>
      <c r="G172" s="4" t="s">
        <v>621</v>
      </c>
      <c r="H172" s="23" t="s">
        <v>383</v>
      </c>
      <c r="I172" s="20" t="s">
        <v>384</v>
      </c>
      <c r="J172" s="67" t="s">
        <v>387</v>
      </c>
    </row>
    <row r="173" spans="1:10" x14ac:dyDescent="0.3">
      <c r="A173" s="54" t="s">
        <v>584</v>
      </c>
      <c r="B173" s="25" t="s">
        <v>467</v>
      </c>
      <c r="C173" s="23" t="s">
        <v>460</v>
      </c>
      <c r="D173" s="21">
        <v>45878</v>
      </c>
      <c r="E173" s="20">
        <v>1</v>
      </c>
      <c r="F173" s="20">
        <v>2025</v>
      </c>
      <c r="G173" s="23" t="s">
        <v>619</v>
      </c>
      <c r="H173" s="23" t="s">
        <v>383</v>
      </c>
      <c r="I173" s="20" t="s">
        <v>384</v>
      </c>
      <c r="J173" s="67" t="s">
        <v>385</v>
      </c>
    </row>
    <row r="174" spans="1:10" x14ac:dyDescent="0.3">
      <c r="A174" s="54" t="s">
        <v>584</v>
      </c>
      <c r="B174" s="25" t="s">
        <v>467</v>
      </c>
      <c r="C174" s="23" t="s">
        <v>382</v>
      </c>
      <c r="D174" s="21">
        <v>45878</v>
      </c>
      <c r="E174" s="20">
        <v>1</v>
      </c>
      <c r="F174" s="20">
        <v>2025</v>
      </c>
      <c r="G174" s="23" t="s">
        <v>619</v>
      </c>
      <c r="H174" s="23" t="s">
        <v>383</v>
      </c>
      <c r="I174" s="20" t="s">
        <v>384</v>
      </c>
      <c r="J174" s="67" t="s">
        <v>385</v>
      </c>
    </row>
    <row r="175" spans="1:10" x14ac:dyDescent="0.3">
      <c r="A175" s="54" t="s">
        <v>584</v>
      </c>
      <c r="B175" s="25" t="s">
        <v>467</v>
      </c>
      <c r="C175" s="23" t="s">
        <v>445</v>
      </c>
      <c r="D175" s="21">
        <v>45878</v>
      </c>
      <c r="E175" s="20">
        <v>1</v>
      </c>
      <c r="F175" s="20">
        <v>2025</v>
      </c>
      <c r="G175" s="23" t="s">
        <v>619</v>
      </c>
      <c r="H175" s="23" t="s">
        <v>383</v>
      </c>
      <c r="I175" s="20" t="s">
        <v>384</v>
      </c>
      <c r="J175" s="67" t="s">
        <v>385</v>
      </c>
    </row>
    <row r="176" spans="1:10" x14ac:dyDescent="0.3">
      <c r="A176" s="54" t="s">
        <v>540</v>
      </c>
      <c r="B176" s="20" t="s">
        <v>418</v>
      </c>
      <c r="C176" s="23" t="s">
        <v>460</v>
      </c>
      <c r="D176" s="21">
        <v>45878</v>
      </c>
      <c r="E176" s="20">
        <v>1</v>
      </c>
      <c r="F176" s="20">
        <v>2025</v>
      </c>
      <c r="G176" s="4" t="s">
        <v>621</v>
      </c>
      <c r="H176" s="23" t="s">
        <v>383</v>
      </c>
      <c r="I176" s="20" t="s">
        <v>384</v>
      </c>
      <c r="J176" s="67" t="s">
        <v>387</v>
      </c>
    </row>
    <row r="177" spans="1:10" x14ac:dyDescent="0.3">
      <c r="A177" s="54" t="s">
        <v>540</v>
      </c>
      <c r="B177" s="20" t="s">
        <v>418</v>
      </c>
      <c r="C177" s="23" t="s">
        <v>464</v>
      </c>
      <c r="D177" s="21">
        <v>45878</v>
      </c>
      <c r="E177" s="20">
        <v>1</v>
      </c>
      <c r="F177" s="20">
        <v>2025</v>
      </c>
      <c r="G177" s="4" t="s">
        <v>621</v>
      </c>
      <c r="H177" s="23" t="s">
        <v>383</v>
      </c>
      <c r="I177" s="20" t="s">
        <v>384</v>
      </c>
      <c r="J177" s="67" t="s">
        <v>387</v>
      </c>
    </row>
    <row r="178" spans="1:10" x14ac:dyDescent="0.3">
      <c r="A178" s="54" t="s">
        <v>540</v>
      </c>
      <c r="B178" s="20" t="s">
        <v>418</v>
      </c>
      <c r="C178" s="23" t="s">
        <v>465</v>
      </c>
      <c r="D178" s="21">
        <v>45878</v>
      </c>
      <c r="E178" s="20">
        <v>1</v>
      </c>
      <c r="F178" s="20">
        <v>2025</v>
      </c>
      <c r="G178" s="4" t="s">
        <v>621</v>
      </c>
      <c r="H178" s="23" t="s">
        <v>383</v>
      </c>
      <c r="I178" s="20" t="s">
        <v>384</v>
      </c>
      <c r="J178" s="67" t="s">
        <v>387</v>
      </c>
    </row>
    <row r="179" spans="1:10" x14ac:dyDescent="0.3">
      <c r="A179" s="54" t="s">
        <v>553</v>
      </c>
      <c r="B179" s="20" t="s">
        <v>431</v>
      </c>
      <c r="C179" s="23" t="s">
        <v>464</v>
      </c>
      <c r="D179" s="21">
        <v>45878</v>
      </c>
      <c r="E179" s="20">
        <v>1</v>
      </c>
      <c r="F179" s="20">
        <v>2025</v>
      </c>
      <c r="G179" s="4" t="s">
        <v>621</v>
      </c>
      <c r="H179" s="23" t="s">
        <v>383</v>
      </c>
      <c r="I179" s="20" t="s">
        <v>384</v>
      </c>
      <c r="J179" s="67" t="s">
        <v>387</v>
      </c>
    </row>
    <row r="180" spans="1:10" x14ac:dyDescent="0.3">
      <c r="A180" s="54" t="s">
        <v>556</v>
      </c>
      <c r="B180" s="20" t="s">
        <v>434</v>
      </c>
      <c r="C180" s="23" t="s">
        <v>465</v>
      </c>
      <c r="D180" s="21">
        <v>45878</v>
      </c>
      <c r="E180" s="20">
        <v>1</v>
      </c>
      <c r="F180" s="20">
        <v>2025</v>
      </c>
      <c r="G180" s="4" t="s">
        <v>621</v>
      </c>
      <c r="H180" s="23" t="s">
        <v>383</v>
      </c>
      <c r="I180" s="20" t="s">
        <v>384</v>
      </c>
      <c r="J180" s="67" t="s">
        <v>385</v>
      </c>
    </row>
    <row r="181" spans="1:10" x14ac:dyDescent="0.3">
      <c r="A181" s="54" t="s">
        <v>515</v>
      </c>
      <c r="B181" s="20" t="s">
        <v>393</v>
      </c>
      <c r="C181" s="23" t="s">
        <v>465</v>
      </c>
      <c r="D181" s="21">
        <v>45878</v>
      </c>
      <c r="E181" s="20">
        <v>1</v>
      </c>
      <c r="F181" s="20">
        <v>2025</v>
      </c>
      <c r="G181" s="4" t="s">
        <v>621</v>
      </c>
      <c r="H181" s="23" t="s">
        <v>383</v>
      </c>
      <c r="I181" s="20" t="s">
        <v>384</v>
      </c>
      <c r="J181" s="67" t="s">
        <v>387</v>
      </c>
    </row>
    <row r="182" spans="1:10" x14ac:dyDescent="0.3">
      <c r="A182" s="54" t="s">
        <v>545</v>
      </c>
      <c r="B182" s="20" t="s">
        <v>423</v>
      </c>
      <c r="C182" s="23" t="s">
        <v>445</v>
      </c>
      <c r="D182" s="21">
        <v>45881</v>
      </c>
      <c r="E182" s="20">
        <v>1</v>
      </c>
      <c r="F182" s="20">
        <v>2025</v>
      </c>
      <c r="G182" s="4" t="s">
        <v>621</v>
      </c>
      <c r="H182" s="23" t="s">
        <v>383</v>
      </c>
      <c r="I182" s="20" t="s">
        <v>384</v>
      </c>
      <c r="J182" s="67" t="s">
        <v>390</v>
      </c>
    </row>
    <row r="183" spans="1:10" x14ac:dyDescent="0.3">
      <c r="A183" s="54" t="s">
        <v>541</v>
      </c>
      <c r="B183" s="20" t="s">
        <v>419</v>
      </c>
      <c r="C183" s="23" t="s">
        <v>465</v>
      </c>
      <c r="D183" s="21">
        <v>45894</v>
      </c>
      <c r="E183" s="20">
        <v>1</v>
      </c>
      <c r="F183" s="20">
        <v>2025</v>
      </c>
      <c r="G183" s="30" t="s">
        <v>619</v>
      </c>
      <c r="H183" s="23" t="s">
        <v>383</v>
      </c>
      <c r="I183" s="20" t="s">
        <v>384</v>
      </c>
      <c r="J183" s="67" t="s">
        <v>390</v>
      </c>
    </row>
    <row r="184" spans="1:10" x14ac:dyDescent="0.3">
      <c r="A184" s="54" t="s">
        <v>552</v>
      </c>
      <c r="B184" s="20" t="s">
        <v>430</v>
      </c>
      <c r="C184" s="23" t="s">
        <v>465</v>
      </c>
      <c r="D184" s="21">
        <v>45894</v>
      </c>
      <c r="E184" s="20">
        <v>1</v>
      </c>
      <c r="F184" s="20">
        <v>2025</v>
      </c>
      <c r="G184" s="4" t="s">
        <v>621</v>
      </c>
      <c r="H184" s="23" t="s">
        <v>383</v>
      </c>
      <c r="I184" s="20" t="s">
        <v>384</v>
      </c>
      <c r="J184" s="67" t="s">
        <v>387</v>
      </c>
    </row>
    <row r="185" spans="1:10" x14ac:dyDescent="0.3">
      <c r="A185" s="54" t="s">
        <v>550</v>
      </c>
      <c r="B185" s="20" t="s">
        <v>428</v>
      </c>
      <c r="C185" s="23" t="s">
        <v>465</v>
      </c>
      <c r="D185" s="21">
        <v>45894</v>
      </c>
      <c r="E185" s="20">
        <v>1</v>
      </c>
      <c r="F185" s="20">
        <v>2025</v>
      </c>
      <c r="G185" s="4" t="s">
        <v>621</v>
      </c>
      <c r="H185" s="23" t="s">
        <v>383</v>
      </c>
      <c r="I185" s="20" t="s">
        <v>384</v>
      </c>
      <c r="J185" s="67" t="s">
        <v>387</v>
      </c>
    </row>
    <row r="186" spans="1:10" x14ac:dyDescent="0.3">
      <c r="A186" s="54" t="s">
        <v>551</v>
      </c>
      <c r="B186" s="20" t="s">
        <v>429</v>
      </c>
      <c r="C186" s="23" t="s">
        <v>465</v>
      </c>
      <c r="D186" s="21">
        <v>45894</v>
      </c>
      <c r="E186" s="20">
        <v>1</v>
      </c>
      <c r="F186" s="20">
        <v>2025</v>
      </c>
      <c r="G186" s="4" t="s">
        <v>621</v>
      </c>
      <c r="H186" s="23" t="s">
        <v>383</v>
      </c>
      <c r="I186" s="20" t="s">
        <v>384</v>
      </c>
      <c r="J186" s="67" t="s">
        <v>387</v>
      </c>
    </row>
    <row r="187" spans="1:10" x14ac:dyDescent="0.3">
      <c r="A187" s="54" t="s">
        <v>547</v>
      </c>
      <c r="B187" s="20" t="s">
        <v>425</v>
      </c>
      <c r="C187" s="23" t="s">
        <v>465</v>
      </c>
      <c r="D187" s="21">
        <v>45894</v>
      </c>
      <c r="E187" s="20">
        <v>1</v>
      </c>
      <c r="F187" s="20">
        <v>2025</v>
      </c>
      <c r="G187" s="4" t="s">
        <v>621</v>
      </c>
      <c r="H187" s="23" t="s">
        <v>383</v>
      </c>
      <c r="I187" s="20" t="s">
        <v>384</v>
      </c>
      <c r="J187" s="67" t="s">
        <v>390</v>
      </c>
    </row>
    <row r="188" spans="1:10" x14ac:dyDescent="0.3">
      <c r="A188" s="54" t="s">
        <v>532</v>
      </c>
      <c r="B188" s="20" t="s">
        <v>410</v>
      </c>
      <c r="C188" s="23" t="s">
        <v>465</v>
      </c>
      <c r="D188" s="21">
        <v>45894</v>
      </c>
      <c r="E188" s="20">
        <v>1</v>
      </c>
      <c r="F188" s="20">
        <v>2025</v>
      </c>
      <c r="G188" s="4" t="s">
        <v>621</v>
      </c>
      <c r="H188" s="23" t="s">
        <v>383</v>
      </c>
      <c r="I188" s="20" t="s">
        <v>384</v>
      </c>
      <c r="J188" s="67" t="s">
        <v>390</v>
      </c>
    </row>
    <row r="189" spans="1:10" x14ac:dyDescent="0.3">
      <c r="A189" s="54" t="s">
        <v>541</v>
      </c>
      <c r="B189" s="20" t="s">
        <v>419</v>
      </c>
      <c r="C189" s="23" t="s">
        <v>464</v>
      </c>
      <c r="D189" s="21">
        <v>45894</v>
      </c>
      <c r="E189" s="20">
        <v>1</v>
      </c>
      <c r="F189" s="20">
        <v>2025</v>
      </c>
      <c r="G189" s="30" t="s">
        <v>619</v>
      </c>
      <c r="H189" s="23" t="s">
        <v>383</v>
      </c>
      <c r="I189" s="20" t="s">
        <v>384</v>
      </c>
      <c r="J189" s="67" t="s">
        <v>390</v>
      </c>
    </row>
    <row r="190" spans="1:10" x14ac:dyDescent="0.3">
      <c r="A190" s="54" t="s">
        <v>560</v>
      </c>
      <c r="B190" s="20" t="s">
        <v>438</v>
      </c>
      <c r="C190" s="23" t="s">
        <v>464</v>
      </c>
      <c r="D190" s="21">
        <v>45894</v>
      </c>
      <c r="E190" s="20">
        <v>1</v>
      </c>
      <c r="F190" s="20">
        <v>2025</v>
      </c>
      <c r="G190" s="4" t="s">
        <v>621</v>
      </c>
      <c r="H190" s="23" t="s">
        <v>383</v>
      </c>
      <c r="I190" s="20" t="s">
        <v>384</v>
      </c>
      <c r="J190" s="67" t="s">
        <v>385</v>
      </c>
    </row>
    <row r="191" spans="1:10" x14ac:dyDescent="0.3">
      <c r="A191" s="54" t="s">
        <v>547</v>
      </c>
      <c r="B191" s="20" t="s">
        <v>425</v>
      </c>
      <c r="C191" s="23" t="s">
        <v>464</v>
      </c>
      <c r="D191" s="21">
        <v>45894</v>
      </c>
      <c r="E191" s="20">
        <v>1</v>
      </c>
      <c r="F191" s="20">
        <v>2025</v>
      </c>
      <c r="G191" s="4" t="s">
        <v>621</v>
      </c>
      <c r="H191" s="23" t="s">
        <v>383</v>
      </c>
      <c r="I191" s="20" t="s">
        <v>384</v>
      </c>
      <c r="J191" s="67" t="s">
        <v>390</v>
      </c>
    </row>
    <row r="192" spans="1:10" x14ac:dyDescent="0.3">
      <c r="A192" s="54" t="s">
        <v>543</v>
      </c>
      <c r="B192" s="20" t="s">
        <v>421</v>
      </c>
      <c r="C192" s="23" t="s">
        <v>464</v>
      </c>
      <c r="D192" s="21">
        <v>45894</v>
      </c>
      <c r="E192" s="20">
        <v>1</v>
      </c>
      <c r="F192" s="20">
        <v>2025</v>
      </c>
      <c r="G192" s="30" t="s">
        <v>619</v>
      </c>
      <c r="H192" s="23" t="s">
        <v>383</v>
      </c>
      <c r="I192" s="20" t="s">
        <v>384</v>
      </c>
      <c r="J192" s="67" t="s">
        <v>390</v>
      </c>
    </row>
    <row r="193" spans="1:10" x14ac:dyDescent="0.3">
      <c r="A193" s="54" t="s">
        <v>585</v>
      </c>
      <c r="B193" s="20" t="s">
        <v>468</v>
      </c>
      <c r="C193" s="23" t="s">
        <v>445</v>
      </c>
      <c r="D193" s="21">
        <v>45897</v>
      </c>
      <c r="E193" s="20">
        <v>1</v>
      </c>
      <c r="F193" s="20">
        <v>2025</v>
      </c>
      <c r="G193" s="4" t="s">
        <v>621</v>
      </c>
      <c r="H193" s="23" t="s">
        <v>383</v>
      </c>
      <c r="I193" s="20" t="s">
        <v>384</v>
      </c>
      <c r="J193" s="67" t="s">
        <v>387</v>
      </c>
    </row>
    <row r="194" spans="1:10" x14ac:dyDescent="0.3">
      <c r="A194" s="54" t="s">
        <v>586</v>
      </c>
      <c r="B194" s="20" t="s">
        <v>469</v>
      </c>
      <c r="C194" s="23" t="s">
        <v>445</v>
      </c>
      <c r="D194" s="21">
        <v>45897</v>
      </c>
      <c r="E194" s="20">
        <v>1</v>
      </c>
      <c r="F194" s="20">
        <v>2025</v>
      </c>
      <c r="G194" s="4" t="s">
        <v>621</v>
      </c>
      <c r="H194" s="23" t="s">
        <v>383</v>
      </c>
      <c r="I194" s="20" t="s">
        <v>384</v>
      </c>
      <c r="J194" s="67" t="s">
        <v>390</v>
      </c>
    </row>
    <row r="195" spans="1:10" x14ac:dyDescent="0.3">
      <c r="A195" s="54" t="s">
        <v>587</v>
      </c>
      <c r="B195" s="23" t="s">
        <v>470</v>
      </c>
      <c r="C195" s="23" t="s">
        <v>445</v>
      </c>
      <c r="D195" s="21">
        <v>45897</v>
      </c>
      <c r="E195" s="20">
        <v>1</v>
      </c>
      <c r="F195" s="20">
        <v>2025</v>
      </c>
      <c r="G195" s="4" t="s">
        <v>621</v>
      </c>
      <c r="H195" s="23" t="s">
        <v>383</v>
      </c>
      <c r="I195" s="20" t="s">
        <v>384</v>
      </c>
      <c r="J195" s="67" t="s">
        <v>390</v>
      </c>
    </row>
    <row r="196" spans="1:10" x14ac:dyDescent="0.3">
      <c r="A196" s="54" t="s">
        <v>586</v>
      </c>
      <c r="B196" s="20" t="s">
        <v>469</v>
      </c>
      <c r="C196" s="23" t="s">
        <v>382</v>
      </c>
      <c r="D196" s="21">
        <v>45897</v>
      </c>
      <c r="E196" s="20">
        <v>1</v>
      </c>
      <c r="F196" s="20">
        <v>2025</v>
      </c>
      <c r="G196" s="4" t="s">
        <v>621</v>
      </c>
      <c r="H196" s="23" t="s">
        <v>383</v>
      </c>
      <c r="I196" s="20" t="s">
        <v>384</v>
      </c>
      <c r="J196" s="67" t="s">
        <v>390</v>
      </c>
    </row>
    <row r="197" spans="1:10" x14ac:dyDescent="0.3">
      <c r="A197" s="54" t="s">
        <v>566</v>
      </c>
      <c r="B197" s="20" t="s">
        <v>444</v>
      </c>
      <c r="C197" s="23" t="s">
        <v>464</v>
      </c>
      <c r="D197" s="21">
        <v>45899</v>
      </c>
      <c r="E197" s="20">
        <v>1</v>
      </c>
      <c r="F197" s="20">
        <v>2025</v>
      </c>
      <c r="G197" s="4" t="s">
        <v>621</v>
      </c>
      <c r="H197" s="23" t="s">
        <v>383</v>
      </c>
      <c r="I197" s="20" t="s">
        <v>384</v>
      </c>
      <c r="J197" s="67" t="s">
        <v>385</v>
      </c>
    </row>
    <row r="198" spans="1:10" x14ac:dyDescent="0.3">
      <c r="A198" s="54" t="s">
        <v>588</v>
      </c>
      <c r="B198" s="28" t="s">
        <v>471</v>
      </c>
      <c r="C198" s="23" t="s">
        <v>445</v>
      </c>
      <c r="D198" s="21">
        <v>45900</v>
      </c>
      <c r="E198" s="20">
        <v>1</v>
      </c>
      <c r="F198" s="20">
        <v>2025</v>
      </c>
      <c r="G198" s="4" t="s">
        <v>621</v>
      </c>
      <c r="H198" s="23" t="s">
        <v>383</v>
      </c>
      <c r="I198" s="20" t="s">
        <v>384</v>
      </c>
      <c r="J198" s="67" t="s">
        <v>390</v>
      </c>
    </row>
    <row r="199" spans="1:10" x14ac:dyDescent="0.3">
      <c r="A199" s="54" t="s">
        <v>519</v>
      </c>
      <c r="B199" s="20" t="s">
        <v>397</v>
      </c>
      <c r="C199" s="23" t="s">
        <v>464</v>
      </c>
      <c r="D199" s="21">
        <v>45902</v>
      </c>
      <c r="E199" s="20">
        <v>1</v>
      </c>
      <c r="F199" s="20">
        <v>2025</v>
      </c>
      <c r="G199" s="30" t="s">
        <v>619</v>
      </c>
      <c r="H199" s="23" t="s">
        <v>383</v>
      </c>
      <c r="I199" s="20" t="s">
        <v>384</v>
      </c>
      <c r="J199" s="67" t="s">
        <v>387</v>
      </c>
    </row>
    <row r="200" spans="1:10" x14ac:dyDescent="0.3">
      <c r="A200" s="54" t="s">
        <v>589</v>
      </c>
      <c r="B200" s="23" t="s">
        <v>472</v>
      </c>
      <c r="C200" s="23" t="s">
        <v>445</v>
      </c>
      <c r="D200" s="21">
        <v>45906</v>
      </c>
      <c r="E200" s="20">
        <v>1</v>
      </c>
      <c r="F200" s="20">
        <v>2025</v>
      </c>
      <c r="G200" s="4" t="s">
        <v>621</v>
      </c>
      <c r="H200" s="23" t="s">
        <v>383</v>
      </c>
      <c r="I200" s="20" t="s">
        <v>384</v>
      </c>
      <c r="J200" s="67" t="s">
        <v>390</v>
      </c>
    </row>
    <row r="201" spans="1:10" x14ac:dyDescent="0.3">
      <c r="A201" s="54" t="s">
        <v>590</v>
      </c>
      <c r="B201" s="23" t="s">
        <v>473</v>
      </c>
      <c r="C201" s="23" t="s">
        <v>445</v>
      </c>
      <c r="D201" s="21">
        <v>45910</v>
      </c>
      <c r="E201" s="20">
        <v>1</v>
      </c>
      <c r="F201" s="20">
        <v>2025</v>
      </c>
      <c r="G201" s="4" t="s">
        <v>621</v>
      </c>
      <c r="H201" s="23" t="s">
        <v>383</v>
      </c>
      <c r="I201" s="20" t="s">
        <v>384</v>
      </c>
      <c r="J201" s="67" t="s">
        <v>390</v>
      </c>
    </row>
    <row r="202" spans="1:10" x14ac:dyDescent="0.3">
      <c r="A202" s="54" t="s">
        <v>591</v>
      </c>
      <c r="B202" s="20" t="s">
        <v>474</v>
      </c>
      <c r="C202" s="23" t="s">
        <v>445</v>
      </c>
      <c r="D202" s="21">
        <v>45910</v>
      </c>
      <c r="E202" s="20">
        <v>1</v>
      </c>
      <c r="F202" s="20">
        <v>2025</v>
      </c>
      <c r="G202" s="4" t="s">
        <v>621</v>
      </c>
      <c r="H202" s="23" t="s">
        <v>383</v>
      </c>
      <c r="I202" s="20" t="s">
        <v>384</v>
      </c>
      <c r="J202" s="67" t="s">
        <v>390</v>
      </c>
    </row>
    <row r="203" spans="1:10" x14ac:dyDescent="0.3">
      <c r="A203" s="54" t="s">
        <v>592</v>
      </c>
      <c r="B203" s="23" t="s">
        <v>475</v>
      </c>
      <c r="C203" s="23" t="s">
        <v>445</v>
      </c>
      <c r="D203" s="21">
        <v>45910</v>
      </c>
      <c r="E203" s="20">
        <v>1</v>
      </c>
      <c r="F203" s="20">
        <v>2025</v>
      </c>
      <c r="G203" s="31" t="s">
        <v>620</v>
      </c>
      <c r="H203" s="23" t="s">
        <v>383</v>
      </c>
      <c r="I203" s="20" t="s">
        <v>384</v>
      </c>
      <c r="J203" s="67" t="s">
        <v>390</v>
      </c>
    </row>
    <row r="204" spans="1:10" x14ac:dyDescent="0.3">
      <c r="A204" s="54" t="s">
        <v>593</v>
      </c>
      <c r="B204" s="20" t="s">
        <v>476</v>
      </c>
      <c r="C204" s="23" t="s">
        <v>445</v>
      </c>
      <c r="D204" s="21">
        <v>45910</v>
      </c>
      <c r="E204" s="20">
        <v>1</v>
      </c>
      <c r="F204" s="20">
        <v>2025</v>
      </c>
      <c r="G204" s="4" t="s">
        <v>621</v>
      </c>
      <c r="H204" s="23" t="s">
        <v>383</v>
      </c>
      <c r="I204" s="20" t="s">
        <v>384</v>
      </c>
      <c r="J204" s="67" t="s">
        <v>390</v>
      </c>
    </row>
    <row r="205" spans="1:10" x14ac:dyDescent="0.3">
      <c r="A205" s="54" t="s">
        <v>593</v>
      </c>
      <c r="B205" s="20" t="s">
        <v>476</v>
      </c>
      <c r="C205" s="23" t="s">
        <v>382</v>
      </c>
      <c r="D205" s="21">
        <v>45910</v>
      </c>
      <c r="E205" s="20">
        <v>1</v>
      </c>
      <c r="F205" s="20">
        <v>2025</v>
      </c>
      <c r="G205" s="4" t="s">
        <v>621</v>
      </c>
      <c r="H205" s="23" t="s">
        <v>383</v>
      </c>
      <c r="I205" s="20" t="s">
        <v>384</v>
      </c>
      <c r="J205" s="67" t="s">
        <v>390</v>
      </c>
    </row>
    <row r="206" spans="1:10" x14ac:dyDescent="0.3">
      <c r="A206" s="54" t="s">
        <v>594</v>
      </c>
      <c r="B206" s="20" t="s">
        <v>477</v>
      </c>
      <c r="C206" s="23" t="s">
        <v>445</v>
      </c>
      <c r="D206" s="21">
        <v>45916</v>
      </c>
      <c r="E206" s="20">
        <v>1</v>
      </c>
      <c r="F206" s="20">
        <v>2025</v>
      </c>
      <c r="G206" s="4" t="s">
        <v>621</v>
      </c>
      <c r="H206" s="23" t="s">
        <v>383</v>
      </c>
      <c r="I206" s="20" t="s">
        <v>384</v>
      </c>
      <c r="J206" s="67" t="s">
        <v>390</v>
      </c>
    </row>
    <row r="207" spans="1:10" x14ac:dyDescent="0.3">
      <c r="A207" s="54" t="s">
        <v>567</v>
      </c>
      <c r="B207" s="20" t="s">
        <v>446</v>
      </c>
      <c r="C207" s="23" t="s">
        <v>382</v>
      </c>
      <c r="D207" s="21">
        <v>45916</v>
      </c>
      <c r="E207" s="20">
        <v>1</v>
      </c>
      <c r="F207" s="20">
        <v>2025</v>
      </c>
      <c r="G207" s="4" t="s">
        <v>621</v>
      </c>
      <c r="H207" s="23" t="s">
        <v>383</v>
      </c>
      <c r="I207" s="20" t="s">
        <v>384</v>
      </c>
      <c r="J207" s="67" t="s">
        <v>390</v>
      </c>
    </row>
    <row r="208" spans="1:10" x14ac:dyDescent="0.3">
      <c r="A208" s="54" t="s">
        <v>595</v>
      </c>
      <c r="B208" s="26" t="s">
        <v>478</v>
      </c>
      <c r="C208" s="23" t="s">
        <v>445</v>
      </c>
      <c r="D208" s="21">
        <v>45927</v>
      </c>
      <c r="E208" s="20">
        <v>1</v>
      </c>
      <c r="F208" s="20">
        <v>2025</v>
      </c>
      <c r="G208" s="30" t="s">
        <v>620</v>
      </c>
      <c r="H208" s="23" t="s">
        <v>383</v>
      </c>
      <c r="I208" s="20" t="s">
        <v>384</v>
      </c>
      <c r="J208" s="67" t="s">
        <v>387</v>
      </c>
    </row>
    <row r="209" spans="1:10" x14ac:dyDescent="0.3">
      <c r="A209" s="54" t="s">
        <v>595</v>
      </c>
      <c r="B209" s="26" t="s">
        <v>478</v>
      </c>
      <c r="C209" s="23" t="s">
        <v>382</v>
      </c>
      <c r="D209" s="21">
        <v>45927</v>
      </c>
      <c r="E209" s="20">
        <v>1</v>
      </c>
      <c r="F209" s="20">
        <v>2025</v>
      </c>
      <c r="G209" s="23" t="s">
        <v>620</v>
      </c>
      <c r="H209" s="23" t="s">
        <v>383</v>
      </c>
      <c r="I209" s="20" t="s">
        <v>384</v>
      </c>
      <c r="J209" s="67" t="s">
        <v>387</v>
      </c>
    </row>
    <row r="210" spans="1:10" x14ac:dyDescent="0.3">
      <c r="A210" s="54" t="s">
        <v>540</v>
      </c>
      <c r="B210" s="20" t="s">
        <v>418</v>
      </c>
      <c r="C210" s="23" t="s">
        <v>463</v>
      </c>
      <c r="D210" s="21">
        <v>45938</v>
      </c>
      <c r="E210" s="20">
        <v>1</v>
      </c>
      <c r="F210" s="20">
        <v>2025</v>
      </c>
      <c r="G210" s="4" t="s">
        <v>621</v>
      </c>
      <c r="H210" s="23" t="s">
        <v>383</v>
      </c>
      <c r="I210" s="20" t="s">
        <v>384</v>
      </c>
      <c r="J210" s="67" t="s">
        <v>387</v>
      </c>
    </row>
    <row r="211" spans="1:10" x14ac:dyDescent="0.3">
      <c r="A211" s="54" t="s">
        <v>540</v>
      </c>
      <c r="B211" s="20" t="s">
        <v>418</v>
      </c>
      <c r="C211" s="23" t="s">
        <v>479</v>
      </c>
      <c r="D211" s="21">
        <v>45950</v>
      </c>
      <c r="E211" s="20">
        <v>1</v>
      </c>
      <c r="F211" s="20">
        <v>2025</v>
      </c>
      <c r="G211" s="4" t="s">
        <v>621</v>
      </c>
      <c r="H211" s="23" t="s">
        <v>383</v>
      </c>
      <c r="I211" s="20" t="s">
        <v>384</v>
      </c>
      <c r="J211" s="67" t="s">
        <v>387</v>
      </c>
    </row>
    <row r="212" spans="1:10" x14ac:dyDescent="0.3">
      <c r="A212" s="54" t="s">
        <v>584</v>
      </c>
      <c r="B212" s="25" t="s">
        <v>467</v>
      </c>
      <c r="C212" s="23" t="s">
        <v>463</v>
      </c>
      <c r="D212" s="21">
        <v>45938</v>
      </c>
      <c r="E212" s="20">
        <v>1</v>
      </c>
      <c r="F212" s="20">
        <v>2025</v>
      </c>
      <c r="G212" s="23" t="s">
        <v>619</v>
      </c>
      <c r="H212" s="23" t="s">
        <v>383</v>
      </c>
      <c r="I212" s="20" t="s">
        <v>384</v>
      </c>
      <c r="J212" s="67" t="s">
        <v>385</v>
      </c>
    </row>
    <row r="213" spans="1:10" x14ac:dyDescent="0.3">
      <c r="A213" s="54" t="s">
        <v>584</v>
      </c>
      <c r="B213" s="25" t="s">
        <v>467</v>
      </c>
      <c r="C213" s="23" t="s">
        <v>479</v>
      </c>
      <c r="D213" s="21">
        <v>45947</v>
      </c>
      <c r="E213" s="20">
        <v>1</v>
      </c>
      <c r="F213" s="20">
        <v>2025</v>
      </c>
      <c r="G213" s="23" t="s">
        <v>619</v>
      </c>
      <c r="H213" s="23" t="s">
        <v>383</v>
      </c>
      <c r="I213" s="20" t="s">
        <v>384</v>
      </c>
      <c r="J213" s="67" t="s">
        <v>385</v>
      </c>
    </row>
    <row r="214" spans="1:10" x14ac:dyDescent="0.3">
      <c r="A214" s="54" t="s">
        <v>590</v>
      </c>
      <c r="B214" s="23" t="s">
        <v>473</v>
      </c>
      <c r="C214" s="23" t="s">
        <v>463</v>
      </c>
      <c r="D214" s="21">
        <v>45939</v>
      </c>
      <c r="E214" s="20">
        <v>1</v>
      </c>
      <c r="F214" s="20">
        <v>2025</v>
      </c>
      <c r="G214" s="4" t="s">
        <v>621</v>
      </c>
      <c r="H214" s="23" t="s">
        <v>383</v>
      </c>
      <c r="I214" s="20" t="s">
        <v>384</v>
      </c>
      <c r="J214" s="67" t="s">
        <v>390</v>
      </c>
    </row>
    <row r="215" spans="1:10" x14ac:dyDescent="0.3">
      <c r="A215" s="54" t="s">
        <v>595</v>
      </c>
      <c r="B215" s="26" t="s">
        <v>478</v>
      </c>
      <c r="C215" s="23" t="s">
        <v>463</v>
      </c>
      <c r="D215" s="21">
        <v>45937</v>
      </c>
      <c r="E215" s="20">
        <v>1</v>
      </c>
      <c r="F215" s="20">
        <v>2025</v>
      </c>
      <c r="G215" s="30" t="s">
        <v>620</v>
      </c>
      <c r="H215" s="23" t="s">
        <v>383</v>
      </c>
      <c r="I215" s="20" t="s">
        <v>384</v>
      </c>
      <c r="J215" s="67" t="s">
        <v>387</v>
      </c>
    </row>
    <row r="216" spans="1:10" x14ac:dyDescent="0.3">
      <c r="A216" s="54" t="s">
        <v>595</v>
      </c>
      <c r="B216" s="26" t="s">
        <v>478</v>
      </c>
      <c r="C216" s="23" t="s">
        <v>479</v>
      </c>
      <c r="D216" s="21">
        <v>45947</v>
      </c>
      <c r="E216" s="20">
        <v>1</v>
      </c>
      <c r="F216" s="20">
        <v>2025</v>
      </c>
      <c r="G216" s="23" t="s">
        <v>620</v>
      </c>
      <c r="H216" s="23" t="s">
        <v>383</v>
      </c>
      <c r="I216" s="20" t="s">
        <v>384</v>
      </c>
      <c r="J216" s="67" t="s">
        <v>387</v>
      </c>
    </row>
    <row r="217" spans="1:10" x14ac:dyDescent="0.3">
      <c r="A217" s="54" t="s">
        <v>596</v>
      </c>
      <c r="B217" s="20" t="s">
        <v>480</v>
      </c>
      <c r="C217" s="23" t="s">
        <v>463</v>
      </c>
      <c r="D217" s="21">
        <v>45938</v>
      </c>
      <c r="E217" s="20">
        <v>1</v>
      </c>
      <c r="F217" s="20">
        <v>2025</v>
      </c>
      <c r="G217" s="4" t="s">
        <v>621</v>
      </c>
      <c r="H217" s="23" t="s">
        <v>383</v>
      </c>
      <c r="I217" s="20" t="s">
        <v>384</v>
      </c>
      <c r="J217" s="67" t="s">
        <v>390</v>
      </c>
    </row>
    <row r="218" spans="1:10" x14ac:dyDescent="0.3">
      <c r="A218" s="54" t="s">
        <v>549</v>
      </c>
      <c r="B218" s="20" t="s">
        <v>427</v>
      </c>
      <c r="C218" s="23" t="s">
        <v>463</v>
      </c>
      <c r="D218" s="21">
        <v>45939</v>
      </c>
      <c r="E218" s="20">
        <v>1</v>
      </c>
      <c r="F218" s="20">
        <v>2025</v>
      </c>
      <c r="G218" s="4" t="s">
        <v>621</v>
      </c>
      <c r="H218" s="23" t="s">
        <v>383</v>
      </c>
      <c r="I218" s="20" t="s">
        <v>384</v>
      </c>
      <c r="J218" s="67" t="s">
        <v>387</v>
      </c>
    </row>
    <row r="219" spans="1:10" x14ac:dyDescent="0.3">
      <c r="A219" s="54" t="s">
        <v>549</v>
      </c>
      <c r="B219" s="20" t="s">
        <v>427</v>
      </c>
      <c r="C219" s="23" t="s">
        <v>479</v>
      </c>
      <c r="D219" s="21">
        <v>45950</v>
      </c>
      <c r="E219" s="20">
        <v>1</v>
      </c>
      <c r="F219" s="20">
        <v>2025</v>
      </c>
      <c r="G219" s="4" t="s">
        <v>621</v>
      </c>
      <c r="H219" s="23" t="s">
        <v>383</v>
      </c>
      <c r="I219" s="20" t="s">
        <v>384</v>
      </c>
      <c r="J219" s="67" t="s">
        <v>387</v>
      </c>
    </row>
    <row r="220" spans="1:10" x14ac:dyDescent="0.3">
      <c r="A220" s="54" t="s">
        <v>510</v>
      </c>
      <c r="B220" s="20" t="s">
        <v>381</v>
      </c>
      <c r="C220" s="23" t="s">
        <v>463</v>
      </c>
      <c r="D220" s="21">
        <v>45938</v>
      </c>
      <c r="E220" s="20">
        <v>1</v>
      </c>
      <c r="F220" s="20">
        <v>2025</v>
      </c>
      <c r="G220" s="30" t="s">
        <v>619</v>
      </c>
      <c r="H220" s="23" t="s">
        <v>383</v>
      </c>
      <c r="I220" s="20" t="s">
        <v>384</v>
      </c>
      <c r="J220" s="67" t="s">
        <v>385</v>
      </c>
    </row>
    <row r="221" spans="1:10" x14ac:dyDescent="0.3">
      <c r="A221" s="54" t="s">
        <v>510</v>
      </c>
      <c r="B221" s="20" t="s">
        <v>381</v>
      </c>
      <c r="C221" s="23" t="s">
        <v>479</v>
      </c>
      <c r="D221" s="21">
        <v>45947</v>
      </c>
      <c r="E221" s="20">
        <v>1</v>
      </c>
      <c r="F221" s="20">
        <v>2025</v>
      </c>
      <c r="G221" s="23" t="s">
        <v>619</v>
      </c>
      <c r="H221" s="23" t="s">
        <v>383</v>
      </c>
      <c r="I221" s="20" t="s">
        <v>384</v>
      </c>
      <c r="J221" s="67" t="s">
        <v>385</v>
      </c>
    </row>
    <row r="222" spans="1:10" x14ac:dyDescent="0.3">
      <c r="A222" s="54" t="s">
        <v>564</v>
      </c>
      <c r="B222" s="20" t="s">
        <v>442</v>
      </c>
      <c r="C222" s="23" t="s">
        <v>463</v>
      </c>
      <c r="D222" s="21">
        <v>45938</v>
      </c>
      <c r="E222" s="20">
        <v>1</v>
      </c>
      <c r="F222" s="20">
        <v>2025</v>
      </c>
      <c r="G222" s="23" t="s">
        <v>619</v>
      </c>
      <c r="H222" s="23" t="s">
        <v>383</v>
      </c>
      <c r="I222" s="20" t="s">
        <v>384</v>
      </c>
      <c r="J222" s="67" t="s">
        <v>385</v>
      </c>
    </row>
    <row r="223" spans="1:10" x14ac:dyDescent="0.3">
      <c r="A223" s="54" t="s">
        <v>564</v>
      </c>
      <c r="B223" s="20" t="s">
        <v>442</v>
      </c>
      <c r="C223" s="23" t="s">
        <v>479</v>
      </c>
      <c r="D223" s="21">
        <v>45947</v>
      </c>
      <c r="E223" s="20">
        <v>1</v>
      </c>
      <c r="F223" s="20">
        <v>2025</v>
      </c>
      <c r="G223" s="23" t="s">
        <v>619</v>
      </c>
      <c r="H223" s="23" t="s">
        <v>383</v>
      </c>
      <c r="I223" s="20" t="s">
        <v>384</v>
      </c>
      <c r="J223" s="67" t="s">
        <v>385</v>
      </c>
    </row>
    <row r="224" spans="1:10" x14ac:dyDescent="0.3">
      <c r="A224" s="54" t="s">
        <v>534</v>
      </c>
      <c r="B224" s="20" t="s">
        <v>412</v>
      </c>
      <c r="C224" s="23" t="s">
        <v>463</v>
      </c>
      <c r="D224" s="21">
        <v>45937</v>
      </c>
      <c r="E224" s="20">
        <v>1</v>
      </c>
      <c r="F224" s="20">
        <v>2025</v>
      </c>
      <c r="G224" s="23" t="s">
        <v>619</v>
      </c>
      <c r="H224" s="23" t="s">
        <v>383</v>
      </c>
      <c r="I224" s="20" t="s">
        <v>384</v>
      </c>
      <c r="J224" s="67" t="s">
        <v>387</v>
      </c>
    </row>
    <row r="225" spans="1:10" x14ac:dyDescent="0.3">
      <c r="A225" s="54" t="s">
        <v>534</v>
      </c>
      <c r="B225" s="20" t="s">
        <v>412</v>
      </c>
      <c r="C225" s="23" t="s">
        <v>479</v>
      </c>
      <c r="D225" s="21">
        <v>45950</v>
      </c>
      <c r="E225" s="20">
        <v>1</v>
      </c>
      <c r="F225" s="20">
        <v>2025</v>
      </c>
      <c r="G225" s="23" t="s">
        <v>619</v>
      </c>
      <c r="H225" s="23" t="s">
        <v>383</v>
      </c>
      <c r="I225" s="20" t="s">
        <v>384</v>
      </c>
      <c r="J225" s="67" t="s">
        <v>387</v>
      </c>
    </row>
    <row r="226" spans="1:10" x14ac:dyDescent="0.3">
      <c r="A226" s="54" t="s">
        <v>512</v>
      </c>
      <c r="B226" s="20" t="s">
        <v>389</v>
      </c>
      <c r="C226" s="23" t="s">
        <v>463</v>
      </c>
      <c r="D226" s="21">
        <v>45938</v>
      </c>
      <c r="E226" s="20">
        <v>1</v>
      </c>
      <c r="F226" s="20">
        <v>2025</v>
      </c>
      <c r="G226" s="23" t="s">
        <v>619</v>
      </c>
      <c r="H226" s="23" t="s">
        <v>383</v>
      </c>
      <c r="I226" s="20" t="s">
        <v>384</v>
      </c>
      <c r="J226" s="67" t="s">
        <v>390</v>
      </c>
    </row>
    <row r="227" spans="1:10" x14ac:dyDescent="0.3">
      <c r="A227" s="54" t="s">
        <v>512</v>
      </c>
      <c r="B227" s="20" t="s">
        <v>389</v>
      </c>
      <c r="C227" s="23" t="s">
        <v>479</v>
      </c>
      <c r="D227" s="21">
        <v>45950</v>
      </c>
      <c r="E227" s="20">
        <v>1</v>
      </c>
      <c r="F227" s="20">
        <v>2025</v>
      </c>
      <c r="G227" s="23" t="s">
        <v>619</v>
      </c>
      <c r="H227" s="23" t="s">
        <v>383</v>
      </c>
      <c r="I227" s="20" t="s">
        <v>384</v>
      </c>
      <c r="J227" s="67" t="s">
        <v>390</v>
      </c>
    </row>
    <row r="228" spans="1:10" x14ac:dyDescent="0.3">
      <c r="A228" s="54" t="s">
        <v>558</v>
      </c>
      <c r="B228" s="20" t="s">
        <v>436</v>
      </c>
      <c r="C228" s="23" t="s">
        <v>463</v>
      </c>
      <c r="D228" s="21">
        <v>45938</v>
      </c>
      <c r="E228" s="20">
        <v>1</v>
      </c>
      <c r="F228" s="20">
        <v>2025</v>
      </c>
      <c r="G228" s="23" t="s">
        <v>619</v>
      </c>
      <c r="H228" s="23" t="s">
        <v>383</v>
      </c>
      <c r="I228" s="20" t="s">
        <v>384</v>
      </c>
      <c r="J228" s="67" t="s">
        <v>385</v>
      </c>
    </row>
    <row r="229" spans="1:10" x14ac:dyDescent="0.3">
      <c r="A229" s="54" t="s">
        <v>558</v>
      </c>
      <c r="B229" s="20" t="s">
        <v>436</v>
      </c>
      <c r="C229" s="23" t="s">
        <v>479</v>
      </c>
      <c r="D229" s="21">
        <v>45947</v>
      </c>
      <c r="E229" s="20">
        <v>1</v>
      </c>
      <c r="F229" s="20">
        <v>2025</v>
      </c>
      <c r="G229" s="23" t="s">
        <v>619</v>
      </c>
      <c r="H229" s="23" t="s">
        <v>383</v>
      </c>
      <c r="I229" s="20" t="s">
        <v>384</v>
      </c>
      <c r="J229" s="67" t="s">
        <v>385</v>
      </c>
    </row>
    <row r="230" spans="1:10" x14ac:dyDescent="0.3">
      <c r="A230" s="54" t="s">
        <v>543</v>
      </c>
      <c r="B230" s="20" t="s">
        <v>421</v>
      </c>
      <c r="C230" s="23" t="s">
        <v>463</v>
      </c>
      <c r="D230" s="21">
        <v>45938</v>
      </c>
      <c r="E230" s="20">
        <v>1</v>
      </c>
      <c r="F230" s="20">
        <v>2025</v>
      </c>
      <c r="G230" s="23" t="s">
        <v>619</v>
      </c>
      <c r="H230" s="23" t="s">
        <v>383</v>
      </c>
      <c r="I230" s="20" t="s">
        <v>384</v>
      </c>
      <c r="J230" s="67" t="s">
        <v>390</v>
      </c>
    </row>
    <row r="231" spans="1:10" x14ac:dyDescent="0.3">
      <c r="A231" s="54" t="s">
        <v>543</v>
      </c>
      <c r="B231" s="20" t="s">
        <v>421</v>
      </c>
      <c r="C231" s="23" t="s">
        <v>479</v>
      </c>
      <c r="D231" s="21">
        <v>45947</v>
      </c>
      <c r="E231" s="20">
        <v>1</v>
      </c>
      <c r="F231" s="20">
        <v>2025</v>
      </c>
      <c r="G231" s="23" t="s">
        <v>619</v>
      </c>
      <c r="H231" s="23" t="s">
        <v>383</v>
      </c>
      <c r="I231" s="20" t="s">
        <v>384</v>
      </c>
      <c r="J231" s="67" t="s">
        <v>390</v>
      </c>
    </row>
    <row r="232" spans="1:10" x14ac:dyDescent="0.3">
      <c r="A232" s="54" t="s">
        <v>565</v>
      </c>
      <c r="B232" s="20" t="s">
        <v>443</v>
      </c>
      <c r="C232" s="23" t="s">
        <v>463</v>
      </c>
      <c r="D232" s="21">
        <v>45938</v>
      </c>
      <c r="E232" s="20">
        <v>1</v>
      </c>
      <c r="F232" s="20">
        <v>2025</v>
      </c>
      <c r="G232" s="4" t="s">
        <v>621</v>
      </c>
      <c r="H232" s="23" t="s">
        <v>383</v>
      </c>
      <c r="I232" s="20" t="s">
        <v>384</v>
      </c>
      <c r="J232" s="67" t="s">
        <v>385</v>
      </c>
    </row>
    <row r="233" spans="1:10" x14ac:dyDescent="0.3">
      <c r="A233" s="54" t="s">
        <v>565</v>
      </c>
      <c r="B233" s="20" t="s">
        <v>443</v>
      </c>
      <c r="C233" s="23" t="s">
        <v>479</v>
      </c>
      <c r="D233" s="21">
        <v>45947</v>
      </c>
      <c r="E233" s="20">
        <v>1</v>
      </c>
      <c r="F233" s="20">
        <v>2025</v>
      </c>
      <c r="G233" s="4" t="s">
        <v>621</v>
      </c>
      <c r="H233" s="23" t="s">
        <v>383</v>
      </c>
      <c r="I233" s="20" t="s">
        <v>384</v>
      </c>
      <c r="J233" s="67" t="s">
        <v>385</v>
      </c>
    </row>
    <row r="234" spans="1:10" x14ac:dyDescent="0.3">
      <c r="A234" s="54" t="s">
        <v>554</v>
      </c>
      <c r="B234" s="20" t="s">
        <v>432</v>
      </c>
      <c r="C234" s="23" t="s">
        <v>463</v>
      </c>
      <c r="D234" s="21">
        <v>45938</v>
      </c>
      <c r="E234" s="20">
        <v>1</v>
      </c>
      <c r="F234" s="20">
        <v>2025</v>
      </c>
      <c r="G234" s="4" t="s">
        <v>621</v>
      </c>
      <c r="H234" s="23" t="s">
        <v>383</v>
      </c>
      <c r="I234" s="20" t="s">
        <v>384</v>
      </c>
      <c r="J234" s="67" t="s">
        <v>385</v>
      </c>
    </row>
    <row r="235" spans="1:10" x14ac:dyDescent="0.3">
      <c r="A235" s="54" t="s">
        <v>554</v>
      </c>
      <c r="B235" s="20" t="s">
        <v>432</v>
      </c>
      <c r="C235" s="23" t="s">
        <v>479</v>
      </c>
      <c r="D235" s="21">
        <v>45950</v>
      </c>
      <c r="E235" s="20">
        <v>1</v>
      </c>
      <c r="F235" s="20">
        <v>2025</v>
      </c>
      <c r="G235" s="4" t="s">
        <v>621</v>
      </c>
      <c r="H235" s="23" t="s">
        <v>383</v>
      </c>
      <c r="I235" s="20" t="s">
        <v>384</v>
      </c>
      <c r="J235" s="67" t="s">
        <v>385</v>
      </c>
    </row>
    <row r="236" spans="1:10" x14ac:dyDescent="0.3">
      <c r="A236" s="54" t="s">
        <v>522</v>
      </c>
      <c r="B236" s="20" t="s">
        <v>400</v>
      </c>
      <c r="C236" s="23" t="s">
        <v>463</v>
      </c>
      <c r="D236" s="21">
        <v>45938</v>
      </c>
      <c r="E236" s="20">
        <v>1</v>
      </c>
      <c r="F236" s="20">
        <v>2025</v>
      </c>
      <c r="G236" s="30" t="s">
        <v>619</v>
      </c>
      <c r="H236" s="23" t="s">
        <v>383</v>
      </c>
      <c r="I236" s="20" t="s">
        <v>384</v>
      </c>
      <c r="J236" s="67" t="s">
        <v>387</v>
      </c>
    </row>
    <row r="237" spans="1:10" x14ac:dyDescent="0.3">
      <c r="A237" s="54" t="s">
        <v>522</v>
      </c>
      <c r="B237" s="20" t="s">
        <v>400</v>
      </c>
      <c r="C237" s="23" t="s">
        <v>479</v>
      </c>
      <c r="D237" s="21">
        <v>45950</v>
      </c>
      <c r="E237" s="20">
        <v>1</v>
      </c>
      <c r="F237" s="20">
        <v>2025</v>
      </c>
      <c r="G237" s="23" t="s">
        <v>619</v>
      </c>
      <c r="H237" s="23" t="s">
        <v>383</v>
      </c>
      <c r="I237" s="20" t="s">
        <v>384</v>
      </c>
      <c r="J237" s="67" t="s">
        <v>387</v>
      </c>
    </row>
    <row r="238" spans="1:10" x14ac:dyDescent="0.3">
      <c r="A238" s="54" t="s">
        <v>546</v>
      </c>
      <c r="B238" s="20" t="s">
        <v>424</v>
      </c>
      <c r="C238" s="23" t="s">
        <v>463</v>
      </c>
      <c r="D238" s="21">
        <v>45939</v>
      </c>
      <c r="E238" s="20">
        <v>1</v>
      </c>
      <c r="F238" s="20">
        <v>2025</v>
      </c>
      <c r="G238" s="4" t="s">
        <v>621</v>
      </c>
      <c r="H238" s="23" t="s">
        <v>383</v>
      </c>
      <c r="I238" s="20" t="s">
        <v>384</v>
      </c>
      <c r="J238" s="67" t="s">
        <v>390</v>
      </c>
    </row>
    <row r="239" spans="1:10" x14ac:dyDescent="0.3">
      <c r="A239" s="54" t="s">
        <v>546</v>
      </c>
      <c r="B239" s="20" t="s">
        <v>424</v>
      </c>
      <c r="C239" s="23" t="s">
        <v>479</v>
      </c>
      <c r="D239" s="21">
        <v>45947</v>
      </c>
      <c r="E239" s="20">
        <v>1</v>
      </c>
      <c r="F239" s="20">
        <v>2025</v>
      </c>
      <c r="G239" s="4" t="s">
        <v>621</v>
      </c>
      <c r="H239" s="23" t="s">
        <v>383</v>
      </c>
      <c r="I239" s="20" t="s">
        <v>384</v>
      </c>
      <c r="J239" s="67" t="s">
        <v>390</v>
      </c>
    </row>
    <row r="240" spans="1:10" x14ac:dyDescent="0.3">
      <c r="A240" s="54" t="s">
        <v>529</v>
      </c>
      <c r="B240" s="20" t="s">
        <v>407</v>
      </c>
      <c r="C240" s="23" t="s">
        <v>463</v>
      </c>
      <c r="D240" s="21">
        <v>45938</v>
      </c>
      <c r="E240" s="20">
        <v>1</v>
      </c>
      <c r="F240" s="20">
        <v>2025</v>
      </c>
      <c r="G240" s="30" t="s">
        <v>619</v>
      </c>
      <c r="H240" s="23" t="s">
        <v>383</v>
      </c>
      <c r="I240" s="20" t="s">
        <v>384</v>
      </c>
      <c r="J240" s="67" t="s">
        <v>390</v>
      </c>
    </row>
    <row r="241" spans="1:10" x14ac:dyDescent="0.3">
      <c r="A241" s="54" t="s">
        <v>529</v>
      </c>
      <c r="B241" s="20" t="s">
        <v>407</v>
      </c>
      <c r="C241" s="23" t="s">
        <v>479</v>
      </c>
      <c r="D241" s="21">
        <v>45950</v>
      </c>
      <c r="E241" s="20">
        <v>1</v>
      </c>
      <c r="F241" s="20">
        <v>2025</v>
      </c>
      <c r="G241" s="23" t="s">
        <v>619</v>
      </c>
      <c r="H241" s="23" t="s">
        <v>383</v>
      </c>
      <c r="I241" s="20" t="s">
        <v>384</v>
      </c>
      <c r="J241" s="67" t="s">
        <v>390</v>
      </c>
    </row>
    <row r="242" spans="1:10" x14ac:dyDescent="0.3">
      <c r="A242" s="54" t="s">
        <v>541</v>
      </c>
      <c r="B242" s="20" t="s">
        <v>419</v>
      </c>
      <c r="C242" s="23" t="s">
        <v>463</v>
      </c>
      <c r="D242" s="21">
        <v>45938</v>
      </c>
      <c r="E242" s="20">
        <v>1</v>
      </c>
      <c r="F242" s="20">
        <v>2025</v>
      </c>
      <c r="G242" s="23" t="s">
        <v>619</v>
      </c>
      <c r="H242" s="23" t="s">
        <v>383</v>
      </c>
      <c r="I242" s="20" t="s">
        <v>384</v>
      </c>
      <c r="J242" s="67" t="s">
        <v>390</v>
      </c>
    </row>
    <row r="243" spans="1:10" x14ac:dyDescent="0.3">
      <c r="A243" s="54" t="s">
        <v>541</v>
      </c>
      <c r="B243" s="20" t="s">
        <v>419</v>
      </c>
      <c r="C243" s="23" t="s">
        <v>479</v>
      </c>
      <c r="D243" s="21">
        <v>45947</v>
      </c>
      <c r="E243" s="20">
        <v>1</v>
      </c>
      <c r="F243" s="20">
        <v>2025</v>
      </c>
      <c r="G243" s="23" t="s">
        <v>619</v>
      </c>
      <c r="H243" s="23" t="s">
        <v>383</v>
      </c>
      <c r="I243" s="20" t="s">
        <v>384</v>
      </c>
      <c r="J243" s="67" t="s">
        <v>390</v>
      </c>
    </row>
    <row r="244" spans="1:10" x14ac:dyDescent="0.3">
      <c r="A244" s="54" t="s">
        <v>531</v>
      </c>
      <c r="B244" s="20" t="s">
        <v>409</v>
      </c>
      <c r="C244" s="23" t="s">
        <v>463</v>
      </c>
      <c r="D244" s="21">
        <v>45938</v>
      </c>
      <c r="E244" s="20">
        <v>1</v>
      </c>
      <c r="F244" s="20">
        <v>2025</v>
      </c>
      <c r="G244" s="4" t="s">
        <v>621</v>
      </c>
      <c r="H244" s="23" t="s">
        <v>383</v>
      </c>
      <c r="I244" s="20" t="s">
        <v>384</v>
      </c>
      <c r="J244" s="67" t="s">
        <v>390</v>
      </c>
    </row>
    <row r="245" spans="1:10" x14ac:dyDescent="0.3">
      <c r="A245" s="54" t="s">
        <v>531</v>
      </c>
      <c r="B245" s="20" t="s">
        <v>409</v>
      </c>
      <c r="C245" s="23" t="s">
        <v>479</v>
      </c>
      <c r="D245" s="21">
        <v>45947</v>
      </c>
      <c r="E245" s="20">
        <v>1</v>
      </c>
      <c r="F245" s="20">
        <v>2025</v>
      </c>
      <c r="G245" s="4" t="s">
        <v>621</v>
      </c>
      <c r="H245" s="23" t="s">
        <v>383</v>
      </c>
      <c r="I245" s="20" t="s">
        <v>384</v>
      </c>
      <c r="J245" s="67" t="s">
        <v>390</v>
      </c>
    </row>
    <row r="246" spans="1:10" x14ac:dyDescent="0.3">
      <c r="A246" s="54" t="s">
        <v>560</v>
      </c>
      <c r="B246" s="20" t="s">
        <v>438</v>
      </c>
      <c r="C246" s="23" t="s">
        <v>463</v>
      </c>
      <c r="D246" s="21">
        <v>45938</v>
      </c>
      <c r="E246" s="20">
        <v>1</v>
      </c>
      <c r="F246" s="20">
        <v>2025</v>
      </c>
      <c r="G246" s="4" t="s">
        <v>621</v>
      </c>
      <c r="H246" s="23" t="s">
        <v>383</v>
      </c>
      <c r="I246" s="20" t="s">
        <v>384</v>
      </c>
      <c r="J246" s="67" t="s">
        <v>385</v>
      </c>
    </row>
    <row r="247" spans="1:10" x14ac:dyDescent="0.3">
      <c r="A247" s="54" t="s">
        <v>512</v>
      </c>
      <c r="B247" s="20" t="s">
        <v>389</v>
      </c>
      <c r="C247" s="23" t="s">
        <v>481</v>
      </c>
      <c r="D247" s="21">
        <v>45947</v>
      </c>
      <c r="E247" s="20">
        <v>1</v>
      </c>
      <c r="F247" s="20">
        <v>2025</v>
      </c>
      <c r="G247" s="30" t="s">
        <v>619</v>
      </c>
      <c r="H247" s="23" t="s">
        <v>383</v>
      </c>
      <c r="I247" s="20" t="s">
        <v>384</v>
      </c>
      <c r="J247" s="67" t="s">
        <v>390</v>
      </c>
    </row>
    <row r="248" spans="1:10" x14ac:dyDescent="0.3">
      <c r="A248" s="54" t="s">
        <v>511</v>
      </c>
      <c r="B248" s="20" t="s">
        <v>388</v>
      </c>
      <c r="C248" s="23" t="s">
        <v>481</v>
      </c>
      <c r="D248" s="21">
        <v>45947</v>
      </c>
      <c r="E248" s="20">
        <v>1</v>
      </c>
      <c r="F248" s="20">
        <v>2025</v>
      </c>
      <c r="G248" s="23" t="s">
        <v>619</v>
      </c>
      <c r="H248" s="23" t="s">
        <v>383</v>
      </c>
      <c r="I248" s="20" t="s">
        <v>384</v>
      </c>
      <c r="J248" s="67" t="s">
        <v>387</v>
      </c>
    </row>
    <row r="249" spans="1:10" x14ac:dyDescent="0.3">
      <c r="A249" s="54" t="s">
        <v>584</v>
      </c>
      <c r="B249" s="25" t="s">
        <v>467</v>
      </c>
      <c r="C249" s="23" t="s">
        <v>481</v>
      </c>
      <c r="D249" s="21">
        <v>45947</v>
      </c>
      <c r="E249" s="20">
        <v>1</v>
      </c>
      <c r="F249" s="20">
        <v>2025</v>
      </c>
      <c r="G249" s="23" t="s">
        <v>619</v>
      </c>
      <c r="H249" s="23" t="s">
        <v>383</v>
      </c>
      <c r="I249" s="20" t="s">
        <v>384</v>
      </c>
      <c r="J249" s="67" t="s">
        <v>385</v>
      </c>
    </row>
    <row r="250" spans="1:10" x14ac:dyDescent="0.3">
      <c r="A250" s="54" t="s">
        <v>560</v>
      </c>
      <c r="B250" s="20" t="s">
        <v>438</v>
      </c>
      <c r="C250" s="23" t="s">
        <v>479</v>
      </c>
      <c r="D250" s="21">
        <v>45947</v>
      </c>
      <c r="E250" s="20">
        <v>1</v>
      </c>
      <c r="F250" s="20">
        <v>2025</v>
      </c>
      <c r="G250" s="4" t="s">
        <v>621</v>
      </c>
      <c r="H250" s="23" t="s">
        <v>383</v>
      </c>
      <c r="I250" s="20" t="s">
        <v>384</v>
      </c>
      <c r="J250" s="67" t="s">
        <v>385</v>
      </c>
    </row>
    <row r="251" spans="1:10" x14ac:dyDescent="0.3">
      <c r="A251" s="54" t="s">
        <v>597</v>
      </c>
      <c r="B251" s="20" t="s">
        <v>482</v>
      </c>
      <c r="C251" s="23" t="s">
        <v>463</v>
      </c>
      <c r="D251" s="21">
        <v>45938</v>
      </c>
      <c r="E251" s="20">
        <v>1</v>
      </c>
      <c r="F251" s="20">
        <v>2025</v>
      </c>
      <c r="G251" s="4" t="s">
        <v>621</v>
      </c>
      <c r="H251" s="23" t="s">
        <v>383</v>
      </c>
      <c r="I251" s="20" t="s">
        <v>384</v>
      </c>
      <c r="J251" s="67" t="s">
        <v>390</v>
      </c>
    </row>
    <row r="252" spans="1:10" x14ac:dyDescent="0.3">
      <c r="A252" s="54" t="s">
        <v>530</v>
      </c>
      <c r="B252" s="20" t="s">
        <v>408</v>
      </c>
      <c r="C252" s="23" t="s">
        <v>463</v>
      </c>
      <c r="D252" s="21">
        <v>45938</v>
      </c>
      <c r="E252" s="20">
        <v>1</v>
      </c>
      <c r="F252" s="20">
        <v>2025</v>
      </c>
      <c r="G252" s="4" t="s">
        <v>621</v>
      </c>
      <c r="H252" s="23" t="s">
        <v>383</v>
      </c>
      <c r="I252" s="20" t="s">
        <v>384</v>
      </c>
      <c r="J252" s="67" t="s">
        <v>390</v>
      </c>
    </row>
    <row r="253" spans="1:10" x14ac:dyDescent="0.3">
      <c r="A253" s="54" t="s">
        <v>530</v>
      </c>
      <c r="B253" s="20" t="s">
        <v>408</v>
      </c>
      <c r="C253" s="23" t="s">
        <v>479</v>
      </c>
      <c r="D253" s="21">
        <v>45947</v>
      </c>
      <c r="E253" s="20">
        <v>1</v>
      </c>
      <c r="F253" s="20">
        <v>2025</v>
      </c>
      <c r="G253" s="4" t="s">
        <v>621</v>
      </c>
      <c r="H253" s="23" t="s">
        <v>383</v>
      </c>
      <c r="I253" s="20" t="s">
        <v>384</v>
      </c>
      <c r="J253" s="67" t="s">
        <v>390</v>
      </c>
    </row>
    <row r="254" spans="1:10" x14ac:dyDescent="0.3">
      <c r="A254" s="54" t="s">
        <v>593</v>
      </c>
      <c r="B254" s="20" t="s">
        <v>476</v>
      </c>
      <c r="C254" s="23" t="s">
        <v>463</v>
      </c>
      <c r="D254" s="21">
        <v>45938</v>
      </c>
      <c r="E254" s="20">
        <v>1</v>
      </c>
      <c r="F254" s="20">
        <v>2025</v>
      </c>
      <c r="G254" s="4" t="s">
        <v>621</v>
      </c>
      <c r="H254" s="23" t="s">
        <v>383</v>
      </c>
      <c r="I254" s="20" t="s">
        <v>384</v>
      </c>
      <c r="J254" s="67" t="s">
        <v>390</v>
      </c>
    </row>
    <row r="255" spans="1:10" x14ac:dyDescent="0.3">
      <c r="A255" s="54" t="s">
        <v>593</v>
      </c>
      <c r="B255" s="20" t="s">
        <v>476</v>
      </c>
      <c r="C255" s="23" t="s">
        <v>479</v>
      </c>
      <c r="D255" s="21">
        <v>45947</v>
      </c>
      <c r="E255" s="20">
        <v>1</v>
      </c>
      <c r="F255" s="20">
        <v>2025</v>
      </c>
      <c r="G255" s="4" t="s">
        <v>621</v>
      </c>
      <c r="H255" s="23" t="s">
        <v>383</v>
      </c>
      <c r="I255" s="20" t="s">
        <v>384</v>
      </c>
      <c r="J255" s="67" t="s">
        <v>390</v>
      </c>
    </row>
    <row r="256" spans="1:10" x14ac:dyDescent="0.3">
      <c r="A256" s="54" t="s">
        <v>532</v>
      </c>
      <c r="B256" s="20" t="s">
        <v>410</v>
      </c>
      <c r="C256" s="23" t="s">
        <v>463</v>
      </c>
      <c r="D256" s="21">
        <v>45938</v>
      </c>
      <c r="E256" s="20">
        <v>1</v>
      </c>
      <c r="F256" s="20">
        <v>2025</v>
      </c>
      <c r="G256" s="4" t="s">
        <v>621</v>
      </c>
      <c r="H256" s="23" t="s">
        <v>383</v>
      </c>
      <c r="I256" s="20" t="s">
        <v>384</v>
      </c>
      <c r="J256" s="67" t="s">
        <v>390</v>
      </c>
    </row>
    <row r="257" spans="1:10" x14ac:dyDescent="0.3">
      <c r="A257" s="54" t="s">
        <v>532</v>
      </c>
      <c r="B257" s="20" t="s">
        <v>410</v>
      </c>
      <c r="C257" s="23" t="s">
        <v>479</v>
      </c>
      <c r="D257" s="21">
        <v>45947</v>
      </c>
      <c r="E257" s="20">
        <v>1</v>
      </c>
      <c r="F257" s="20">
        <v>2025</v>
      </c>
      <c r="G257" s="4" t="s">
        <v>621</v>
      </c>
      <c r="H257" s="23" t="s">
        <v>383</v>
      </c>
      <c r="I257" s="20" t="s">
        <v>384</v>
      </c>
      <c r="J257" s="67" t="s">
        <v>390</v>
      </c>
    </row>
    <row r="258" spans="1:10" x14ac:dyDescent="0.3">
      <c r="A258" s="54" t="s">
        <v>591</v>
      </c>
      <c r="B258" s="20" t="s">
        <v>474</v>
      </c>
      <c r="C258" s="23" t="s">
        <v>463</v>
      </c>
      <c r="D258" s="21">
        <v>45939</v>
      </c>
      <c r="E258" s="20">
        <v>1</v>
      </c>
      <c r="F258" s="20">
        <v>2025</v>
      </c>
      <c r="G258" s="4" t="s">
        <v>621</v>
      </c>
      <c r="H258" s="23" t="s">
        <v>383</v>
      </c>
      <c r="I258" s="20" t="s">
        <v>384</v>
      </c>
      <c r="J258" s="67" t="s">
        <v>390</v>
      </c>
    </row>
    <row r="259" spans="1:10" x14ac:dyDescent="0.3">
      <c r="A259" s="54" t="s">
        <v>598</v>
      </c>
      <c r="B259" s="20" t="s">
        <v>483</v>
      </c>
      <c r="C259" s="23" t="s">
        <v>463</v>
      </c>
      <c r="D259" s="21">
        <v>45939</v>
      </c>
      <c r="E259" s="20">
        <v>1</v>
      </c>
      <c r="F259" s="20">
        <v>2025</v>
      </c>
      <c r="G259" s="4" t="s">
        <v>621</v>
      </c>
      <c r="H259" s="23" t="s">
        <v>383</v>
      </c>
      <c r="I259" s="20" t="s">
        <v>384</v>
      </c>
      <c r="J259" s="67" t="s">
        <v>390</v>
      </c>
    </row>
    <row r="260" spans="1:10" x14ac:dyDescent="0.3">
      <c r="A260" s="54" t="s">
        <v>598</v>
      </c>
      <c r="B260" s="20" t="s">
        <v>483</v>
      </c>
      <c r="C260" s="23" t="s">
        <v>479</v>
      </c>
      <c r="D260" s="21">
        <v>45947</v>
      </c>
      <c r="E260" s="20">
        <v>1</v>
      </c>
      <c r="F260" s="20">
        <v>2025</v>
      </c>
      <c r="G260" s="4" t="s">
        <v>621</v>
      </c>
      <c r="H260" s="23" t="s">
        <v>383</v>
      </c>
      <c r="I260" s="20" t="s">
        <v>384</v>
      </c>
      <c r="J260" s="67" t="s">
        <v>390</v>
      </c>
    </row>
    <row r="261" spans="1:10" x14ac:dyDescent="0.3">
      <c r="A261" s="54" t="s">
        <v>574</v>
      </c>
      <c r="B261" s="20" t="s">
        <v>453</v>
      </c>
      <c r="C261" s="23" t="s">
        <v>463</v>
      </c>
      <c r="D261" s="21">
        <v>45939</v>
      </c>
      <c r="E261" s="20">
        <v>1</v>
      </c>
      <c r="F261" s="20">
        <v>2025</v>
      </c>
      <c r="G261" s="4" t="s">
        <v>621</v>
      </c>
      <c r="H261" s="23" t="s">
        <v>383</v>
      </c>
      <c r="I261" s="20" t="s">
        <v>384</v>
      </c>
      <c r="J261" s="67" t="s">
        <v>390</v>
      </c>
    </row>
    <row r="262" spans="1:10" x14ac:dyDescent="0.3">
      <c r="A262" s="54" t="s">
        <v>574</v>
      </c>
      <c r="B262" s="20" t="s">
        <v>453</v>
      </c>
      <c r="C262" s="23" t="s">
        <v>479</v>
      </c>
      <c r="D262" s="21">
        <v>45950</v>
      </c>
      <c r="E262" s="20">
        <v>1</v>
      </c>
      <c r="F262" s="20">
        <v>2025</v>
      </c>
      <c r="G262" s="4" t="s">
        <v>621</v>
      </c>
      <c r="H262" s="23" t="s">
        <v>383</v>
      </c>
      <c r="I262" s="20" t="s">
        <v>384</v>
      </c>
      <c r="J262" s="67" t="s">
        <v>390</v>
      </c>
    </row>
    <row r="263" spans="1:10" x14ac:dyDescent="0.3">
      <c r="A263" s="54" t="s">
        <v>556</v>
      </c>
      <c r="B263" s="20" t="s">
        <v>434</v>
      </c>
      <c r="C263" s="23" t="s">
        <v>463</v>
      </c>
      <c r="D263" s="21">
        <v>45938</v>
      </c>
      <c r="E263" s="20">
        <v>1</v>
      </c>
      <c r="F263" s="20">
        <v>2025</v>
      </c>
      <c r="G263" s="4" t="s">
        <v>621</v>
      </c>
      <c r="H263" s="23" t="s">
        <v>383</v>
      </c>
      <c r="I263" s="20" t="s">
        <v>384</v>
      </c>
      <c r="J263" s="67" t="s">
        <v>385</v>
      </c>
    </row>
    <row r="264" spans="1:10" x14ac:dyDescent="0.3">
      <c r="A264" s="54" t="s">
        <v>556</v>
      </c>
      <c r="B264" s="20" t="s">
        <v>434</v>
      </c>
      <c r="C264" s="23" t="s">
        <v>479</v>
      </c>
      <c r="D264" s="21">
        <v>45950</v>
      </c>
      <c r="E264" s="20">
        <v>1</v>
      </c>
      <c r="F264" s="20">
        <v>2025</v>
      </c>
      <c r="G264" s="4" t="s">
        <v>621</v>
      </c>
      <c r="H264" s="23" t="s">
        <v>383</v>
      </c>
      <c r="I264" s="20" t="s">
        <v>384</v>
      </c>
      <c r="J264" s="67" t="s">
        <v>385</v>
      </c>
    </row>
    <row r="265" spans="1:10" x14ac:dyDescent="0.3">
      <c r="A265" s="54" t="s">
        <v>555</v>
      </c>
      <c r="B265" s="20" t="s">
        <v>433</v>
      </c>
      <c r="C265" s="23" t="s">
        <v>463</v>
      </c>
      <c r="D265" s="21">
        <v>45938</v>
      </c>
      <c r="E265" s="20">
        <v>1</v>
      </c>
      <c r="F265" s="20">
        <v>2025</v>
      </c>
      <c r="G265" s="4" t="s">
        <v>621</v>
      </c>
      <c r="H265" s="23" t="s">
        <v>383</v>
      </c>
      <c r="I265" s="20" t="s">
        <v>384</v>
      </c>
      <c r="J265" s="67" t="s">
        <v>385</v>
      </c>
    </row>
    <row r="266" spans="1:10" x14ac:dyDescent="0.3">
      <c r="A266" s="54" t="s">
        <v>555</v>
      </c>
      <c r="B266" s="20" t="s">
        <v>433</v>
      </c>
      <c r="C266" s="23" t="s">
        <v>479</v>
      </c>
      <c r="D266" s="21">
        <v>45950</v>
      </c>
      <c r="E266" s="20">
        <v>1</v>
      </c>
      <c r="F266" s="20">
        <v>2025</v>
      </c>
      <c r="G266" s="4" t="s">
        <v>621</v>
      </c>
      <c r="H266" s="23" t="s">
        <v>383</v>
      </c>
      <c r="I266" s="20" t="s">
        <v>384</v>
      </c>
      <c r="J266" s="67" t="s">
        <v>385</v>
      </c>
    </row>
    <row r="267" spans="1:10" x14ac:dyDescent="0.3">
      <c r="A267" s="54" t="s">
        <v>576</v>
      </c>
      <c r="B267" s="20" t="s">
        <v>455</v>
      </c>
      <c r="C267" s="23" t="s">
        <v>463</v>
      </c>
      <c r="D267" s="21">
        <v>45943</v>
      </c>
      <c r="E267" s="20">
        <v>1</v>
      </c>
      <c r="F267" s="20">
        <v>2025</v>
      </c>
      <c r="G267" s="4" t="s">
        <v>621</v>
      </c>
      <c r="H267" s="23" t="s">
        <v>383</v>
      </c>
      <c r="I267" s="20" t="s">
        <v>384</v>
      </c>
      <c r="J267" s="67" t="s">
        <v>385</v>
      </c>
    </row>
    <row r="268" spans="1:10" x14ac:dyDescent="0.3">
      <c r="A268" s="54" t="s">
        <v>517</v>
      </c>
      <c r="B268" s="20" t="s">
        <v>395</v>
      </c>
      <c r="C268" s="23" t="s">
        <v>463</v>
      </c>
      <c r="D268" s="21">
        <v>45938</v>
      </c>
      <c r="E268" s="20">
        <v>1</v>
      </c>
      <c r="F268" s="20">
        <v>2025</v>
      </c>
      <c r="G268" s="4" t="s">
        <v>621</v>
      </c>
      <c r="H268" s="23" t="s">
        <v>383</v>
      </c>
      <c r="I268" s="20" t="s">
        <v>384</v>
      </c>
      <c r="J268" s="67" t="s">
        <v>385</v>
      </c>
    </row>
    <row r="269" spans="1:10" x14ac:dyDescent="0.3">
      <c r="A269" s="54" t="s">
        <v>517</v>
      </c>
      <c r="B269" s="20" t="s">
        <v>395</v>
      </c>
      <c r="C269" s="23" t="s">
        <v>479</v>
      </c>
      <c r="D269" s="21">
        <v>45947</v>
      </c>
      <c r="E269" s="20">
        <v>1</v>
      </c>
      <c r="F269" s="20">
        <v>2025</v>
      </c>
      <c r="G269" s="4" t="s">
        <v>621</v>
      </c>
      <c r="H269" s="23" t="s">
        <v>383</v>
      </c>
      <c r="I269" s="20" t="s">
        <v>384</v>
      </c>
      <c r="J269" s="67" t="s">
        <v>385</v>
      </c>
    </row>
    <row r="270" spans="1:10" x14ac:dyDescent="0.3">
      <c r="A270" s="54" t="s">
        <v>599</v>
      </c>
      <c r="B270" s="27" t="s">
        <v>484</v>
      </c>
      <c r="C270" s="23" t="s">
        <v>463</v>
      </c>
      <c r="D270" s="21">
        <v>45938</v>
      </c>
      <c r="E270" s="20">
        <v>1</v>
      </c>
      <c r="F270" s="20">
        <v>2025</v>
      </c>
      <c r="G270" s="4" t="s">
        <v>621</v>
      </c>
      <c r="H270" s="23" t="s">
        <v>383</v>
      </c>
      <c r="I270" s="20" t="s">
        <v>384</v>
      </c>
      <c r="J270" s="67" t="s">
        <v>385</v>
      </c>
    </row>
    <row r="271" spans="1:10" x14ac:dyDescent="0.3">
      <c r="A271" s="54" t="s">
        <v>526</v>
      </c>
      <c r="B271" s="20" t="s">
        <v>404</v>
      </c>
      <c r="C271" s="23" t="s">
        <v>463</v>
      </c>
      <c r="D271" s="21">
        <v>45937</v>
      </c>
      <c r="E271" s="20">
        <v>1</v>
      </c>
      <c r="F271" s="20">
        <v>2025</v>
      </c>
      <c r="G271" s="4" t="s">
        <v>621</v>
      </c>
      <c r="H271" s="23" t="s">
        <v>383</v>
      </c>
      <c r="I271" s="20" t="s">
        <v>384</v>
      </c>
      <c r="J271" s="67" t="s">
        <v>387</v>
      </c>
    </row>
    <row r="272" spans="1:10" x14ac:dyDescent="0.3">
      <c r="A272" s="54" t="s">
        <v>526</v>
      </c>
      <c r="B272" s="20" t="s">
        <v>404</v>
      </c>
      <c r="C272" s="23" t="s">
        <v>479</v>
      </c>
      <c r="D272" s="21">
        <v>45950</v>
      </c>
      <c r="E272" s="20">
        <v>1</v>
      </c>
      <c r="F272" s="20">
        <v>2025</v>
      </c>
      <c r="G272" s="4" t="s">
        <v>621</v>
      </c>
      <c r="H272" s="23" t="s">
        <v>383</v>
      </c>
      <c r="I272" s="20" t="s">
        <v>384</v>
      </c>
      <c r="J272" s="67" t="s">
        <v>387</v>
      </c>
    </row>
    <row r="273" spans="1:10" x14ac:dyDescent="0.3">
      <c r="A273" s="54" t="s">
        <v>525</v>
      </c>
      <c r="B273" s="20" t="s">
        <v>403</v>
      </c>
      <c r="C273" s="23" t="s">
        <v>463</v>
      </c>
      <c r="D273" s="21">
        <v>45944</v>
      </c>
      <c r="E273" s="20">
        <v>1</v>
      </c>
      <c r="F273" s="20">
        <v>2025</v>
      </c>
      <c r="G273" s="4" t="s">
        <v>621</v>
      </c>
      <c r="H273" s="23" t="s">
        <v>383</v>
      </c>
      <c r="I273" s="20" t="s">
        <v>384</v>
      </c>
      <c r="J273" s="67" t="s">
        <v>387</v>
      </c>
    </row>
    <row r="274" spans="1:10" x14ac:dyDescent="0.3">
      <c r="A274" s="54" t="s">
        <v>525</v>
      </c>
      <c r="B274" s="20" t="s">
        <v>403</v>
      </c>
      <c r="C274" s="23" t="s">
        <v>479</v>
      </c>
      <c r="D274" s="21">
        <v>45950</v>
      </c>
      <c r="E274" s="20">
        <v>1</v>
      </c>
      <c r="F274" s="20">
        <v>2025</v>
      </c>
      <c r="G274" s="4" t="s">
        <v>621</v>
      </c>
      <c r="H274" s="23" t="s">
        <v>383</v>
      </c>
      <c r="I274" s="20" t="s">
        <v>384</v>
      </c>
      <c r="J274" s="67" t="s">
        <v>387</v>
      </c>
    </row>
    <row r="275" spans="1:10" x14ac:dyDescent="0.3">
      <c r="A275" s="54" t="s">
        <v>523</v>
      </c>
      <c r="B275" s="20" t="s">
        <v>401</v>
      </c>
      <c r="C275" s="23" t="s">
        <v>463</v>
      </c>
      <c r="D275" s="21">
        <v>45942</v>
      </c>
      <c r="E275" s="20">
        <v>1</v>
      </c>
      <c r="F275" s="20">
        <v>2025</v>
      </c>
      <c r="G275" s="4" t="s">
        <v>621</v>
      </c>
      <c r="H275" s="23" t="s">
        <v>383</v>
      </c>
      <c r="I275" s="20" t="s">
        <v>384</v>
      </c>
      <c r="J275" s="67" t="s">
        <v>387</v>
      </c>
    </row>
    <row r="276" spans="1:10" x14ac:dyDescent="0.3">
      <c r="A276" s="54" t="s">
        <v>523</v>
      </c>
      <c r="B276" s="20" t="s">
        <v>401</v>
      </c>
      <c r="C276" s="23" t="s">
        <v>479</v>
      </c>
      <c r="D276" s="21">
        <v>45953</v>
      </c>
      <c r="E276" s="20">
        <v>1</v>
      </c>
      <c r="F276" s="20">
        <v>2025</v>
      </c>
      <c r="G276" s="4" t="s">
        <v>621</v>
      </c>
      <c r="H276" s="23" t="s">
        <v>383</v>
      </c>
      <c r="I276" s="20" t="s">
        <v>384</v>
      </c>
      <c r="J276" s="67" t="s">
        <v>387</v>
      </c>
    </row>
    <row r="277" spans="1:10" x14ac:dyDescent="0.3">
      <c r="A277" s="54" t="s">
        <v>513</v>
      </c>
      <c r="B277" s="20" t="s">
        <v>391</v>
      </c>
      <c r="C277" s="23" t="s">
        <v>463</v>
      </c>
      <c r="D277" s="21">
        <v>45937</v>
      </c>
      <c r="E277" s="20">
        <v>1</v>
      </c>
      <c r="F277" s="20">
        <v>2025</v>
      </c>
      <c r="G277" s="30" t="s">
        <v>619</v>
      </c>
      <c r="H277" s="23" t="s">
        <v>383</v>
      </c>
      <c r="I277" s="20" t="s">
        <v>384</v>
      </c>
      <c r="J277" s="67" t="s">
        <v>387</v>
      </c>
    </row>
    <row r="278" spans="1:10" x14ac:dyDescent="0.3">
      <c r="A278" s="54" t="s">
        <v>513</v>
      </c>
      <c r="B278" s="20" t="s">
        <v>391</v>
      </c>
      <c r="C278" s="23" t="s">
        <v>479</v>
      </c>
      <c r="D278" s="21">
        <v>45947</v>
      </c>
      <c r="E278" s="20">
        <v>1</v>
      </c>
      <c r="F278" s="20">
        <v>2025</v>
      </c>
      <c r="G278" s="23" t="s">
        <v>619</v>
      </c>
      <c r="H278" s="23" t="s">
        <v>383</v>
      </c>
      <c r="I278" s="20" t="s">
        <v>384</v>
      </c>
      <c r="J278" s="67" t="s">
        <v>387</v>
      </c>
    </row>
    <row r="279" spans="1:10" x14ac:dyDescent="0.3">
      <c r="A279" s="54" t="s">
        <v>527</v>
      </c>
      <c r="B279" s="20" t="s">
        <v>405</v>
      </c>
      <c r="C279" s="23" t="s">
        <v>463</v>
      </c>
      <c r="D279" s="21">
        <v>45937</v>
      </c>
      <c r="E279" s="20">
        <v>1</v>
      </c>
      <c r="F279" s="20">
        <v>2025</v>
      </c>
      <c r="G279" s="4" t="s">
        <v>621</v>
      </c>
      <c r="H279" s="23" t="s">
        <v>383</v>
      </c>
      <c r="I279" s="20" t="s">
        <v>384</v>
      </c>
      <c r="J279" s="67" t="s">
        <v>387</v>
      </c>
    </row>
    <row r="280" spans="1:10" x14ac:dyDescent="0.3">
      <c r="A280" s="54" t="s">
        <v>527</v>
      </c>
      <c r="B280" s="20" t="s">
        <v>405</v>
      </c>
      <c r="C280" s="23" t="s">
        <v>479</v>
      </c>
      <c r="D280" s="21">
        <v>45950</v>
      </c>
      <c r="E280" s="20">
        <v>1</v>
      </c>
      <c r="F280" s="20">
        <v>2025</v>
      </c>
      <c r="G280" s="4" t="s">
        <v>621</v>
      </c>
      <c r="H280" s="23" t="s">
        <v>383</v>
      </c>
      <c r="I280" s="20" t="s">
        <v>384</v>
      </c>
      <c r="J280" s="67" t="s">
        <v>387</v>
      </c>
    </row>
    <row r="281" spans="1:10" x14ac:dyDescent="0.3">
      <c r="A281" s="54" t="s">
        <v>571</v>
      </c>
      <c r="B281" s="20" t="s">
        <v>450</v>
      </c>
      <c r="C281" s="23" t="s">
        <v>463</v>
      </c>
      <c r="D281" s="21">
        <v>45937</v>
      </c>
      <c r="E281" s="20">
        <v>1</v>
      </c>
      <c r="F281" s="20">
        <v>2025</v>
      </c>
      <c r="G281" s="4" t="s">
        <v>621</v>
      </c>
      <c r="H281" s="23" t="s">
        <v>383</v>
      </c>
      <c r="I281" s="20" t="s">
        <v>384</v>
      </c>
      <c r="J281" s="67" t="s">
        <v>387</v>
      </c>
    </row>
    <row r="282" spans="1:10" x14ac:dyDescent="0.3">
      <c r="A282" s="54" t="s">
        <v>571</v>
      </c>
      <c r="B282" s="20" t="s">
        <v>450</v>
      </c>
      <c r="C282" s="23" t="s">
        <v>479</v>
      </c>
      <c r="D282" s="21">
        <v>45947</v>
      </c>
      <c r="E282" s="20">
        <v>1</v>
      </c>
      <c r="F282" s="20">
        <v>2025</v>
      </c>
      <c r="G282" s="4" t="s">
        <v>621</v>
      </c>
      <c r="H282" s="23" t="s">
        <v>383</v>
      </c>
      <c r="I282" s="20" t="s">
        <v>384</v>
      </c>
      <c r="J282" s="67" t="s">
        <v>387</v>
      </c>
    </row>
    <row r="283" spans="1:10" x14ac:dyDescent="0.3">
      <c r="A283" s="54" t="s">
        <v>600</v>
      </c>
      <c r="B283" s="20" t="s">
        <v>485</v>
      </c>
      <c r="C283" s="23" t="s">
        <v>463</v>
      </c>
      <c r="D283" s="21">
        <v>45943</v>
      </c>
      <c r="E283" s="20">
        <v>1</v>
      </c>
      <c r="F283" s="20">
        <v>2025</v>
      </c>
      <c r="G283" s="4" t="s">
        <v>621</v>
      </c>
      <c r="H283" s="23" t="s">
        <v>383</v>
      </c>
      <c r="I283" s="20" t="s">
        <v>384</v>
      </c>
      <c r="J283" s="67" t="s">
        <v>387</v>
      </c>
    </row>
    <row r="284" spans="1:10" x14ac:dyDescent="0.3">
      <c r="A284" s="54" t="s">
        <v>600</v>
      </c>
      <c r="B284" s="20" t="s">
        <v>485</v>
      </c>
      <c r="C284" s="23" t="s">
        <v>479</v>
      </c>
      <c r="D284" s="21">
        <v>45953</v>
      </c>
      <c r="E284" s="20">
        <v>1</v>
      </c>
      <c r="F284" s="20">
        <v>2025</v>
      </c>
      <c r="G284" s="4" t="s">
        <v>621</v>
      </c>
      <c r="H284" s="23" t="s">
        <v>383</v>
      </c>
      <c r="I284" s="20" t="s">
        <v>384</v>
      </c>
      <c r="J284" s="67" t="s">
        <v>387</v>
      </c>
    </row>
    <row r="285" spans="1:10" x14ac:dyDescent="0.3">
      <c r="A285" s="54" t="s">
        <v>539</v>
      </c>
      <c r="B285" s="20" t="s">
        <v>417</v>
      </c>
      <c r="C285" s="23" t="s">
        <v>463</v>
      </c>
      <c r="D285" s="21">
        <v>45943</v>
      </c>
      <c r="E285" s="20">
        <v>1</v>
      </c>
      <c r="F285" s="20">
        <v>2025</v>
      </c>
      <c r="G285" s="4" t="s">
        <v>621</v>
      </c>
      <c r="H285" s="23" t="s">
        <v>383</v>
      </c>
      <c r="I285" s="20" t="s">
        <v>384</v>
      </c>
      <c r="J285" s="67" t="s">
        <v>387</v>
      </c>
    </row>
    <row r="286" spans="1:10" x14ac:dyDescent="0.3">
      <c r="A286" s="54" t="s">
        <v>539</v>
      </c>
      <c r="B286" s="20" t="s">
        <v>417</v>
      </c>
      <c r="C286" s="23" t="s">
        <v>479</v>
      </c>
      <c r="D286" s="21">
        <v>45950</v>
      </c>
      <c r="E286" s="20">
        <v>1</v>
      </c>
      <c r="F286" s="20">
        <v>2025</v>
      </c>
      <c r="G286" s="4" t="s">
        <v>621</v>
      </c>
      <c r="H286" s="23" t="s">
        <v>383</v>
      </c>
      <c r="I286" s="20" t="s">
        <v>384</v>
      </c>
      <c r="J286" s="67" t="s">
        <v>387</v>
      </c>
    </row>
    <row r="287" spans="1:10" x14ac:dyDescent="0.3">
      <c r="A287" s="54" t="s">
        <v>535</v>
      </c>
      <c r="B287" s="20" t="s">
        <v>413</v>
      </c>
      <c r="C287" s="23" t="s">
        <v>463</v>
      </c>
      <c r="D287" s="21">
        <v>45942</v>
      </c>
      <c r="E287" s="20">
        <v>1</v>
      </c>
      <c r="F287" s="20">
        <v>2025</v>
      </c>
      <c r="G287" s="4" t="s">
        <v>621</v>
      </c>
      <c r="H287" s="23" t="s">
        <v>383</v>
      </c>
      <c r="I287" s="20" t="s">
        <v>384</v>
      </c>
      <c r="J287" s="67" t="s">
        <v>387</v>
      </c>
    </row>
    <row r="288" spans="1:10" x14ac:dyDescent="0.3">
      <c r="A288" s="54" t="s">
        <v>535</v>
      </c>
      <c r="B288" s="20" t="s">
        <v>413</v>
      </c>
      <c r="C288" s="23" t="s">
        <v>479</v>
      </c>
      <c r="D288" s="21">
        <v>45950</v>
      </c>
      <c r="E288" s="20">
        <v>1</v>
      </c>
      <c r="F288" s="20">
        <v>2025</v>
      </c>
      <c r="G288" s="4" t="s">
        <v>621</v>
      </c>
      <c r="H288" s="23" t="s">
        <v>383</v>
      </c>
      <c r="I288" s="20" t="s">
        <v>384</v>
      </c>
      <c r="J288" s="67" t="s">
        <v>387</v>
      </c>
    </row>
    <row r="289" spans="1:10" x14ac:dyDescent="0.3">
      <c r="A289" s="54" t="s">
        <v>570</v>
      </c>
      <c r="B289" s="20" t="s">
        <v>449</v>
      </c>
      <c r="C289" s="23" t="s">
        <v>463</v>
      </c>
      <c r="D289" s="21">
        <v>45939</v>
      </c>
      <c r="E289" s="20">
        <v>1</v>
      </c>
      <c r="F289" s="20">
        <v>2025</v>
      </c>
      <c r="G289" s="4" t="s">
        <v>621</v>
      </c>
      <c r="H289" s="23" t="s">
        <v>383</v>
      </c>
      <c r="I289" s="20" t="s">
        <v>384</v>
      </c>
      <c r="J289" s="67" t="s">
        <v>387</v>
      </c>
    </row>
    <row r="290" spans="1:10" x14ac:dyDescent="0.3">
      <c r="A290" s="54" t="s">
        <v>570</v>
      </c>
      <c r="B290" s="20" t="s">
        <v>449</v>
      </c>
      <c r="C290" s="23" t="s">
        <v>479</v>
      </c>
      <c r="D290" s="21">
        <v>45950</v>
      </c>
      <c r="E290" s="20">
        <v>1</v>
      </c>
      <c r="F290" s="20">
        <v>2025</v>
      </c>
      <c r="G290" s="4" t="s">
        <v>621</v>
      </c>
      <c r="H290" s="23" t="s">
        <v>383</v>
      </c>
      <c r="I290" s="20" t="s">
        <v>384</v>
      </c>
      <c r="J290" s="67" t="s">
        <v>387</v>
      </c>
    </row>
    <row r="291" spans="1:10" x14ac:dyDescent="0.3">
      <c r="A291" s="54" t="s">
        <v>536</v>
      </c>
      <c r="B291" s="20" t="s">
        <v>414</v>
      </c>
      <c r="C291" s="23" t="s">
        <v>463</v>
      </c>
      <c r="D291" s="21">
        <v>45938</v>
      </c>
      <c r="E291" s="20">
        <v>1</v>
      </c>
      <c r="F291" s="20">
        <v>2025</v>
      </c>
      <c r="G291" s="4" t="s">
        <v>621</v>
      </c>
      <c r="H291" s="23" t="s">
        <v>383</v>
      </c>
      <c r="I291" s="20" t="s">
        <v>384</v>
      </c>
      <c r="J291" s="67" t="s">
        <v>387</v>
      </c>
    </row>
    <row r="292" spans="1:10" x14ac:dyDescent="0.3">
      <c r="A292" s="54" t="s">
        <v>536</v>
      </c>
      <c r="B292" s="20" t="s">
        <v>414</v>
      </c>
      <c r="C292" s="23" t="s">
        <v>479</v>
      </c>
      <c r="D292" s="21">
        <v>45950</v>
      </c>
      <c r="E292" s="20">
        <v>1</v>
      </c>
      <c r="F292" s="20">
        <v>2025</v>
      </c>
      <c r="G292" s="4" t="s">
        <v>621</v>
      </c>
      <c r="H292" s="23" t="s">
        <v>383</v>
      </c>
      <c r="I292" s="20" t="s">
        <v>384</v>
      </c>
      <c r="J292" s="67" t="s">
        <v>387</v>
      </c>
    </row>
    <row r="293" spans="1:10" x14ac:dyDescent="0.3">
      <c r="A293" s="54" t="s">
        <v>545</v>
      </c>
      <c r="B293" s="20" t="s">
        <v>423</v>
      </c>
      <c r="C293" s="23" t="s">
        <v>463</v>
      </c>
      <c r="D293" s="21">
        <v>45939</v>
      </c>
      <c r="E293" s="20">
        <v>1</v>
      </c>
      <c r="F293" s="20">
        <v>2025</v>
      </c>
      <c r="G293" s="4" t="s">
        <v>621</v>
      </c>
      <c r="H293" s="23" t="s">
        <v>383</v>
      </c>
      <c r="I293" s="20" t="s">
        <v>384</v>
      </c>
      <c r="J293" s="67" t="s">
        <v>390</v>
      </c>
    </row>
    <row r="294" spans="1:10" x14ac:dyDescent="0.3">
      <c r="A294" s="54" t="s">
        <v>545</v>
      </c>
      <c r="B294" s="20" t="s">
        <v>423</v>
      </c>
      <c r="C294" s="23" t="s">
        <v>479</v>
      </c>
      <c r="D294" s="21">
        <v>45950</v>
      </c>
      <c r="E294" s="20">
        <v>1</v>
      </c>
      <c r="F294" s="20">
        <v>2025</v>
      </c>
      <c r="G294" s="4" t="s">
        <v>621</v>
      </c>
      <c r="H294" s="23" t="s">
        <v>383</v>
      </c>
      <c r="I294" s="20" t="s">
        <v>384</v>
      </c>
      <c r="J294" s="67" t="s">
        <v>390</v>
      </c>
    </row>
    <row r="295" spans="1:10" x14ac:dyDescent="0.3">
      <c r="A295" s="54" t="s">
        <v>569</v>
      </c>
      <c r="B295" s="20" t="s">
        <v>448</v>
      </c>
      <c r="C295" s="23" t="s">
        <v>463</v>
      </c>
      <c r="D295" s="21">
        <v>45939</v>
      </c>
      <c r="E295" s="20">
        <v>1</v>
      </c>
      <c r="F295" s="20">
        <v>2025</v>
      </c>
      <c r="G295" s="4" t="s">
        <v>621</v>
      </c>
      <c r="H295" s="23" t="s">
        <v>383</v>
      </c>
      <c r="I295" s="20" t="s">
        <v>384</v>
      </c>
      <c r="J295" s="67" t="s">
        <v>390</v>
      </c>
    </row>
    <row r="296" spans="1:10" x14ac:dyDescent="0.3">
      <c r="A296" s="54" t="s">
        <v>569</v>
      </c>
      <c r="B296" s="20" t="s">
        <v>448</v>
      </c>
      <c r="C296" s="23" t="s">
        <v>479</v>
      </c>
      <c r="D296" s="21">
        <v>45947</v>
      </c>
      <c r="E296" s="20">
        <v>1</v>
      </c>
      <c r="F296" s="20">
        <v>2025</v>
      </c>
      <c r="G296" s="4" t="s">
        <v>621</v>
      </c>
      <c r="H296" s="23" t="s">
        <v>383</v>
      </c>
      <c r="I296" s="20" t="s">
        <v>384</v>
      </c>
      <c r="J296" s="67" t="s">
        <v>390</v>
      </c>
    </row>
    <row r="297" spans="1:10" x14ac:dyDescent="0.3">
      <c r="A297" s="54" t="s">
        <v>587</v>
      </c>
      <c r="B297" s="23" t="s">
        <v>470</v>
      </c>
      <c r="C297" s="23" t="s">
        <v>463</v>
      </c>
      <c r="D297" s="21">
        <v>45939</v>
      </c>
      <c r="E297" s="20">
        <v>1</v>
      </c>
      <c r="F297" s="20">
        <v>2025</v>
      </c>
      <c r="G297" s="4" t="s">
        <v>621</v>
      </c>
      <c r="H297" s="23" t="s">
        <v>383</v>
      </c>
      <c r="I297" s="20" t="s">
        <v>384</v>
      </c>
      <c r="J297" s="67" t="s">
        <v>390</v>
      </c>
    </row>
    <row r="298" spans="1:10" x14ac:dyDescent="0.3">
      <c r="A298" s="54" t="s">
        <v>587</v>
      </c>
      <c r="B298" s="23" t="s">
        <v>470</v>
      </c>
      <c r="C298" s="23" t="s">
        <v>479</v>
      </c>
      <c r="D298" s="21">
        <v>45950</v>
      </c>
      <c r="E298" s="20">
        <v>1</v>
      </c>
      <c r="F298" s="20">
        <v>2025</v>
      </c>
      <c r="G298" s="4" t="s">
        <v>621</v>
      </c>
      <c r="H298" s="23" t="s">
        <v>383</v>
      </c>
      <c r="I298" s="20" t="s">
        <v>384</v>
      </c>
      <c r="J298" s="67" t="s">
        <v>390</v>
      </c>
    </row>
    <row r="299" spans="1:10" x14ac:dyDescent="0.3">
      <c r="A299" s="54" t="s">
        <v>552</v>
      </c>
      <c r="B299" s="20" t="s">
        <v>430</v>
      </c>
      <c r="C299" s="23" t="s">
        <v>463</v>
      </c>
      <c r="D299" s="21">
        <v>45939</v>
      </c>
      <c r="E299" s="20">
        <v>1</v>
      </c>
      <c r="F299" s="20">
        <v>2025</v>
      </c>
      <c r="G299" s="4" t="s">
        <v>621</v>
      </c>
      <c r="H299" s="23" t="s">
        <v>383</v>
      </c>
      <c r="I299" s="20" t="s">
        <v>384</v>
      </c>
      <c r="J299" s="67" t="s">
        <v>387</v>
      </c>
    </row>
    <row r="300" spans="1:10" x14ac:dyDescent="0.3">
      <c r="A300" s="54" t="s">
        <v>552</v>
      </c>
      <c r="B300" s="20" t="s">
        <v>430</v>
      </c>
      <c r="C300" s="23" t="s">
        <v>479</v>
      </c>
      <c r="D300" s="21">
        <v>45947</v>
      </c>
      <c r="E300" s="20">
        <v>1</v>
      </c>
      <c r="F300" s="20">
        <v>2025</v>
      </c>
      <c r="G300" s="4" t="s">
        <v>621</v>
      </c>
      <c r="H300" s="23" t="s">
        <v>383</v>
      </c>
      <c r="I300" s="20" t="s">
        <v>384</v>
      </c>
      <c r="J300" s="67" t="s">
        <v>387</v>
      </c>
    </row>
    <row r="301" spans="1:10" x14ac:dyDescent="0.3">
      <c r="A301" s="54" t="s">
        <v>572</v>
      </c>
      <c r="B301" s="20" t="s">
        <v>451</v>
      </c>
      <c r="C301" s="23" t="s">
        <v>463</v>
      </c>
      <c r="D301" s="21">
        <v>45939</v>
      </c>
      <c r="E301" s="20">
        <v>1</v>
      </c>
      <c r="F301" s="20">
        <v>2025</v>
      </c>
      <c r="G301" s="4" t="s">
        <v>621</v>
      </c>
      <c r="H301" s="23" t="s">
        <v>383</v>
      </c>
      <c r="I301" s="20" t="s">
        <v>384</v>
      </c>
      <c r="J301" s="67" t="s">
        <v>387</v>
      </c>
    </row>
    <row r="302" spans="1:10" x14ac:dyDescent="0.3">
      <c r="A302" s="54" t="s">
        <v>572</v>
      </c>
      <c r="B302" s="20" t="s">
        <v>451</v>
      </c>
      <c r="C302" s="23" t="s">
        <v>479</v>
      </c>
      <c r="D302" s="21">
        <v>45947</v>
      </c>
      <c r="E302" s="20">
        <v>1</v>
      </c>
      <c r="F302" s="20">
        <v>2025</v>
      </c>
      <c r="G302" s="4" t="s">
        <v>621</v>
      </c>
      <c r="H302" s="23" t="s">
        <v>383</v>
      </c>
      <c r="I302" s="20" t="s">
        <v>384</v>
      </c>
      <c r="J302" s="67" t="s">
        <v>387</v>
      </c>
    </row>
    <row r="303" spans="1:10" x14ac:dyDescent="0.3">
      <c r="A303" s="54" t="s">
        <v>553</v>
      </c>
      <c r="B303" s="20" t="s">
        <v>431</v>
      </c>
      <c r="C303" s="23" t="s">
        <v>463</v>
      </c>
      <c r="D303" s="21">
        <v>45939</v>
      </c>
      <c r="E303" s="20">
        <v>1</v>
      </c>
      <c r="F303" s="20">
        <v>2025</v>
      </c>
      <c r="G303" s="4" t="s">
        <v>621</v>
      </c>
      <c r="H303" s="23" t="s">
        <v>383</v>
      </c>
      <c r="I303" s="20" t="s">
        <v>384</v>
      </c>
      <c r="J303" s="67" t="s">
        <v>387</v>
      </c>
    </row>
    <row r="304" spans="1:10" x14ac:dyDescent="0.3">
      <c r="A304" s="54" t="s">
        <v>553</v>
      </c>
      <c r="B304" s="20" t="s">
        <v>431</v>
      </c>
      <c r="C304" s="23" t="s">
        <v>479</v>
      </c>
      <c r="D304" s="21">
        <v>45947</v>
      </c>
      <c r="E304" s="20">
        <v>1</v>
      </c>
      <c r="F304" s="20">
        <v>2025</v>
      </c>
      <c r="G304" s="4" t="s">
        <v>621</v>
      </c>
      <c r="H304" s="23" t="s">
        <v>383</v>
      </c>
      <c r="I304" s="20" t="s">
        <v>384</v>
      </c>
      <c r="J304" s="67" t="s">
        <v>387</v>
      </c>
    </row>
    <row r="305" spans="1:10" x14ac:dyDescent="0.3">
      <c r="A305" s="54" t="s">
        <v>585</v>
      </c>
      <c r="B305" s="20" t="s">
        <v>468</v>
      </c>
      <c r="C305" s="23" t="s">
        <v>463</v>
      </c>
      <c r="D305" s="21">
        <v>45939</v>
      </c>
      <c r="E305" s="20">
        <v>1</v>
      </c>
      <c r="F305" s="20">
        <v>2025</v>
      </c>
      <c r="G305" s="4" t="s">
        <v>621</v>
      </c>
      <c r="H305" s="23" t="s">
        <v>383</v>
      </c>
      <c r="I305" s="20" t="s">
        <v>384</v>
      </c>
      <c r="J305" s="67" t="s">
        <v>387</v>
      </c>
    </row>
    <row r="306" spans="1:10" x14ac:dyDescent="0.3">
      <c r="A306" s="54" t="s">
        <v>585</v>
      </c>
      <c r="B306" s="20" t="s">
        <v>468</v>
      </c>
      <c r="C306" s="23" t="s">
        <v>479</v>
      </c>
      <c r="D306" s="21">
        <v>45947</v>
      </c>
      <c r="E306" s="20">
        <v>1</v>
      </c>
      <c r="F306" s="20">
        <v>2025</v>
      </c>
      <c r="G306" s="4" t="s">
        <v>621</v>
      </c>
      <c r="H306" s="23" t="s">
        <v>383</v>
      </c>
      <c r="I306" s="20" t="s">
        <v>384</v>
      </c>
      <c r="J306" s="67" t="s">
        <v>387</v>
      </c>
    </row>
    <row r="307" spans="1:10" x14ac:dyDescent="0.3">
      <c r="A307" s="54" t="s">
        <v>514</v>
      </c>
      <c r="B307" s="20" t="s">
        <v>392</v>
      </c>
      <c r="C307" s="23" t="s">
        <v>463</v>
      </c>
      <c r="D307" s="21">
        <v>45937</v>
      </c>
      <c r="E307" s="20">
        <v>1</v>
      </c>
      <c r="F307" s="20">
        <v>2025</v>
      </c>
      <c r="G307" s="4" t="s">
        <v>621</v>
      </c>
      <c r="H307" s="23" t="s">
        <v>383</v>
      </c>
      <c r="I307" s="20" t="s">
        <v>384</v>
      </c>
      <c r="J307" s="67" t="s">
        <v>387</v>
      </c>
    </row>
    <row r="308" spans="1:10" x14ac:dyDescent="0.3">
      <c r="A308" s="54" t="s">
        <v>514</v>
      </c>
      <c r="B308" s="20" t="s">
        <v>392</v>
      </c>
      <c r="C308" s="23" t="s">
        <v>479</v>
      </c>
      <c r="D308" s="21">
        <v>45947</v>
      </c>
      <c r="E308" s="20">
        <v>1</v>
      </c>
      <c r="F308" s="20">
        <v>2025</v>
      </c>
      <c r="G308" s="4" t="s">
        <v>621</v>
      </c>
      <c r="H308" s="23" t="s">
        <v>383</v>
      </c>
      <c r="I308" s="20" t="s">
        <v>384</v>
      </c>
      <c r="J308" s="67" t="s">
        <v>387</v>
      </c>
    </row>
    <row r="309" spans="1:10" x14ac:dyDescent="0.3">
      <c r="A309" s="54" t="s">
        <v>548</v>
      </c>
      <c r="B309" s="20" t="s">
        <v>426</v>
      </c>
      <c r="C309" s="23" t="s">
        <v>463</v>
      </c>
      <c r="D309" s="21">
        <v>45942</v>
      </c>
      <c r="E309" s="20">
        <v>1</v>
      </c>
      <c r="F309" s="20">
        <v>2025</v>
      </c>
      <c r="G309" s="4" t="s">
        <v>621</v>
      </c>
      <c r="H309" s="23" t="s">
        <v>383</v>
      </c>
      <c r="I309" s="20" t="s">
        <v>384</v>
      </c>
      <c r="J309" s="67" t="s">
        <v>390</v>
      </c>
    </row>
    <row r="310" spans="1:10" x14ac:dyDescent="0.3">
      <c r="A310" s="54" t="s">
        <v>548</v>
      </c>
      <c r="B310" s="20" t="s">
        <v>426</v>
      </c>
      <c r="C310" s="23" t="s">
        <v>479</v>
      </c>
      <c r="D310" s="21">
        <v>45950</v>
      </c>
      <c r="E310" s="20">
        <v>1</v>
      </c>
      <c r="F310" s="20">
        <v>2025</v>
      </c>
      <c r="G310" s="4" t="s">
        <v>621</v>
      </c>
      <c r="H310" s="23" t="s">
        <v>383</v>
      </c>
      <c r="I310" s="20" t="s">
        <v>384</v>
      </c>
      <c r="J310" s="67" t="s">
        <v>390</v>
      </c>
    </row>
    <row r="311" spans="1:10" x14ac:dyDescent="0.3">
      <c r="A311" s="54" t="s">
        <v>601</v>
      </c>
      <c r="B311" s="20" t="s">
        <v>486</v>
      </c>
      <c r="C311" s="23" t="s">
        <v>463</v>
      </c>
      <c r="D311" s="21">
        <v>45938</v>
      </c>
      <c r="E311" s="20">
        <v>1</v>
      </c>
      <c r="F311" s="20">
        <v>2025</v>
      </c>
      <c r="G311" s="30" t="s">
        <v>620</v>
      </c>
      <c r="H311" s="23" t="s">
        <v>383</v>
      </c>
      <c r="I311" s="20" t="s">
        <v>384</v>
      </c>
      <c r="J311" s="67" t="s">
        <v>385</v>
      </c>
    </row>
    <row r="312" spans="1:10" x14ac:dyDescent="0.3">
      <c r="A312" s="54" t="s">
        <v>519</v>
      </c>
      <c r="B312" s="20" t="s">
        <v>397</v>
      </c>
      <c r="C312" s="23" t="s">
        <v>463</v>
      </c>
      <c r="D312" s="21">
        <v>45937</v>
      </c>
      <c r="E312" s="20">
        <v>1</v>
      </c>
      <c r="F312" s="20">
        <v>2025</v>
      </c>
      <c r="G312" s="23" t="s">
        <v>619</v>
      </c>
      <c r="H312" s="23" t="s">
        <v>383</v>
      </c>
      <c r="I312" s="20" t="s">
        <v>384</v>
      </c>
      <c r="J312" s="67" t="s">
        <v>387</v>
      </c>
    </row>
    <row r="313" spans="1:10" x14ac:dyDescent="0.3">
      <c r="A313" s="54" t="s">
        <v>519</v>
      </c>
      <c r="B313" s="20" t="s">
        <v>397</v>
      </c>
      <c r="C313" s="23" t="s">
        <v>479</v>
      </c>
      <c r="D313" s="21">
        <v>45947</v>
      </c>
      <c r="E313" s="20">
        <v>1</v>
      </c>
      <c r="F313" s="20">
        <v>2025</v>
      </c>
      <c r="G313" s="23" t="s">
        <v>619</v>
      </c>
      <c r="H313" s="23" t="s">
        <v>383</v>
      </c>
      <c r="I313" s="20" t="s">
        <v>384</v>
      </c>
      <c r="J313" s="67" t="s">
        <v>387</v>
      </c>
    </row>
    <row r="314" spans="1:10" x14ac:dyDescent="0.3">
      <c r="A314" s="54" t="s">
        <v>586</v>
      </c>
      <c r="B314" s="20" t="s">
        <v>469</v>
      </c>
      <c r="C314" s="23" t="s">
        <v>463</v>
      </c>
      <c r="D314" s="21">
        <v>45942</v>
      </c>
      <c r="E314" s="20">
        <v>1</v>
      </c>
      <c r="F314" s="20">
        <v>2025</v>
      </c>
      <c r="G314" s="4" t="s">
        <v>621</v>
      </c>
      <c r="H314" s="23" t="s">
        <v>383</v>
      </c>
      <c r="I314" s="20" t="s">
        <v>384</v>
      </c>
      <c r="J314" s="67" t="s">
        <v>390</v>
      </c>
    </row>
    <row r="315" spans="1:10" x14ac:dyDescent="0.3">
      <c r="A315" s="54" t="s">
        <v>586</v>
      </c>
      <c r="B315" s="20" t="s">
        <v>469</v>
      </c>
      <c r="C315" s="23" t="s">
        <v>479</v>
      </c>
      <c r="D315" s="21">
        <v>45950</v>
      </c>
      <c r="E315" s="20">
        <v>1</v>
      </c>
      <c r="F315" s="20">
        <v>2025</v>
      </c>
      <c r="G315" s="4" t="s">
        <v>621</v>
      </c>
      <c r="H315" s="23" t="s">
        <v>383</v>
      </c>
      <c r="I315" s="20" t="s">
        <v>384</v>
      </c>
      <c r="J315" s="67" t="s">
        <v>390</v>
      </c>
    </row>
    <row r="316" spans="1:10" x14ac:dyDescent="0.3">
      <c r="A316" s="54" t="s">
        <v>518</v>
      </c>
      <c r="B316" s="20" t="s">
        <v>396</v>
      </c>
      <c r="C316" s="23" t="s">
        <v>463</v>
      </c>
      <c r="D316" s="21">
        <v>45937</v>
      </c>
      <c r="E316" s="20">
        <v>1</v>
      </c>
      <c r="F316" s="20">
        <v>2025</v>
      </c>
      <c r="G316" s="30" t="s">
        <v>619</v>
      </c>
      <c r="H316" s="23" t="s">
        <v>383</v>
      </c>
      <c r="I316" s="20" t="s">
        <v>384</v>
      </c>
      <c r="J316" s="67" t="s">
        <v>387</v>
      </c>
    </row>
    <row r="317" spans="1:10" x14ac:dyDescent="0.3">
      <c r="A317" s="54" t="s">
        <v>518</v>
      </c>
      <c r="B317" s="20" t="s">
        <v>396</v>
      </c>
      <c r="C317" s="23" t="s">
        <v>479</v>
      </c>
      <c r="D317" s="21">
        <v>45947</v>
      </c>
      <c r="E317" s="20">
        <v>1</v>
      </c>
      <c r="F317" s="20">
        <v>2025</v>
      </c>
      <c r="G317" s="23" t="s">
        <v>619</v>
      </c>
      <c r="H317" s="23" t="s">
        <v>383</v>
      </c>
      <c r="I317" s="20" t="s">
        <v>384</v>
      </c>
      <c r="J317" s="67" t="s">
        <v>387</v>
      </c>
    </row>
    <row r="318" spans="1:10" x14ac:dyDescent="0.3">
      <c r="A318" s="54" t="s">
        <v>511</v>
      </c>
      <c r="B318" s="20" t="s">
        <v>388</v>
      </c>
      <c r="C318" s="23" t="s">
        <v>463</v>
      </c>
      <c r="D318" s="21">
        <v>45937</v>
      </c>
      <c r="E318" s="20">
        <v>1</v>
      </c>
      <c r="F318" s="20">
        <v>2025</v>
      </c>
      <c r="G318" s="23" t="s">
        <v>619</v>
      </c>
      <c r="H318" s="23" t="s">
        <v>383</v>
      </c>
      <c r="I318" s="20" t="s">
        <v>384</v>
      </c>
      <c r="J318" s="67" t="s">
        <v>387</v>
      </c>
    </row>
    <row r="319" spans="1:10" x14ac:dyDescent="0.3">
      <c r="A319" s="54" t="s">
        <v>511</v>
      </c>
      <c r="B319" s="20" t="s">
        <v>388</v>
      </c>
      <c r="C319" s="23" t="s">
        <v>479</v>
      </c>
      <c r="D319" s="21">
        <v>45947</v>
      </c>
      <c r="E319" s="20">
        <v>1</v>
      </c>
      <c r="F319" s="20">
        <v>2025</v>
      </c>
      <c r="G319" s="23" t="s">
        <v>619</v>
      </c>
      <c r="H319" s="23" t="s">
        <v>383</v>
      </c>
      <c r="I319" s="20" t="s">
        <v>384</v>
      </c>
      <c r="J319" s="67" t="s">
        <v>387</v>
      </c>
    </row>
    <row r="320" spans="1:10" x14ac:dyDescent="0.3">
      <c r="A320" s="54" t="s">
        <v>515</v>
      </c>
      <c r="B320" s="20" t="s">
        <v>393</v>
      </c>
      <c r="C320" s="23" t="s">
        <v>463</v>
      </c>
      <c r="D320" s="21">
        <v>45937</v>
      </c>
      <c r="E320" s="20">
        <v>1</v>
      </c>
      <c r="F320" s="20">
        <v>2025</v>
      </c>
      <c r="G320" s="4" t="s">
        <v>621</v>
      </c>
      <c r="H320" s="23" t="s">
        <v>383</v>
      </c>
      <c r="I320" s="20" t="s">
        <v>384</v>
      </c>
      <c r="J320" s="67" t="s">
        <v>387</v>
      </c>
    </row>
    <row r="321" spans="1:10" x14ac:dyDescent="0.3">
      <c r="A321" s="54" t="s">
        <v>515</v>
      </c>
      <c r="B321" s="20" t="s">
        <v>393</v>
      </c>
      <c r="C321" s="23" t="s">
        <v>479</v>
      </c>
      <c r="D321" s="21">
        <v>45947</v>
      </c>
      <c r="E321" s="20">
        <v>1</v>
      </c>
      <c r="F321" s="20">
        <v>2025</v>
      </c>
      <c r="G321" s="4" t="s">
        <v>621</v>
      </c>
      <c r="H321" s="23" t="s">
        <v>383</v>
      </c>
      <c r="I321" s="20" t="s">
        <v>384</v>
      </c>
      <c r="J321" s="67" t="s">
        <v>387</v>
      </c>
    </row>
    <row r="322" spans="1:10" x14ac:dyDescent="0.3">
      <c r="A322" s="54" t="s">
        <v>561</v>
      </c>
      <c r="B322" s="20" t="s">
        <v>439</v>
      </c>
      <c r="C322" s="23" t="s">
        <v>463</v>
      </c>
      <c r="D322" s="21">
        <v>45938</v>
      </c>
      <c r="E322" s="20">
        <v>1</v>
      </c>
      <c r="F322" s="20">
        <v>2025</v>
      </c>
      <c r="G322" s="4" t="s">
        <v>621</v>
      </c>
      <c r="H322" s="23" t="s">
        <v>383</v>
      </c>
      <c r="I322" s="20" t="s">
        <v>384</v>
      </c>
      <c r="J322" s="67" t="s">
        <v>385</v>
      </c>
    </row>
    <row r="323" spans="1:10" x14ac:dyDescent="0.3">
      <c r="A323" s="54" t="s">
        <v>566</v>
      </c>
      <c r="B323" s="20" t="s">
        <v>444</v>
      </c>
      <c r="C323" s="23" t="s">
        <v>463</v>
      </c>
      <c r="D323" s="21">
        <v>45943</v>
      </c>
      <c r="E323" s="20">
        <v>1</v>
      </c>
      <c r="F323" s="20">
        <v>2025</v>
      </c>
      <c r="G323" s="4" t="s">
        <v>621</v>
      </c>
      <c r="H323" s="23" t="s">
        <v>383</v>
      </c>
      <c r="I323" s="20" t="s">
        <v>384</v>
      </c>
      <c r="J323" s="67" t="s">
        <v>385</v>
      </c>
    </row>
    <row r="324" spans="1:10" x14ac:dyDescent="0.3">
      <c r="A324" s="54" t="s">
        <v>566</v>
      </c>
      <c r="B324" s="20" t="s">
        <v>444</v>
      </c>
      <c r="C324" s="23" t="s">
        <v>479</v>
      </c>
      <c r="D324" s="21">
        <v>45947</v>
      </c>
      <c r="E324" s="20">
        <v>1</v>
      </c>
      <c r="F324" s="20">
        <v>2025</v>
      </c>
      <c r="G324" s="4" t="s">
        <v>621</v>
      </c>
      <c r="H324" s="23" t="s">
        <v>383</v>
      </c>
      <c r="I324" s="20" t="s">
        <v>384</v>
      </c>
      <c r="J324" s="67" t="s">
        <v>385</v>
      </c>
    </row>
    <row r="325" spans="1:10" x14ac:dyDescent="0.3">
      <c r="A325" s="54" t="s">
        <v>547</v>
      </c>
      <c r="B325" s="20" t="s">
        <v>425</v>
      </c>
      <c r="C325" s="23" t="s">
        <v>463</v>
      </c>
      <c r="D325" s="21">
        <v>45938</v>
      </c>
      <c r="E325" s="20">
        <v>1</v>
      </c>
      <c r="F325" s="20">
        <v>2025</v>
      </c>
      <c r="G325" s="4" t="s">
        <v>621</v>
      </c>
      <c r="H325" s="23" t="s">
        <v>383</v>
      </c>
      <c r="I325" s="20" t="s">
        <v>384</v>
      </c>
      <c r="J325" s="67" t="s">
        <v>390</v>
      </c>
    </row>
    <row r="326" spans="1:10" x14ac:dyDescent="0.3">
      <c r="A326" s="54" t="s">
        <v>547</v>
      </c>
      <c r="B326" s="20" t="s">
        <v>425</v>
      </c>
      <c r="C326" s="23" t="s">
        <v>479</v>
      </c>
      <c r="D326" s="21">
        <v>45947</v>
      </c>
      <c r="E326" s="20">
        <v>1</v>
      </c>
      <c r="F326" s="20">
        <v>2025</v>
      </c>
      <c r="G326" s="4" t="s">
        <v>621</v>
      </c>
      <c r="H326" s="23" t="s">
        <v>383</v>
      </c>
      <c r="I326" s="20" t="s">
        <v>384</v>
      </c>
      <c r="J326" s="67" t="s">
        <v>390</v>
      </c>
    </row>
    <row r="327" spans="1:10" x14ac:dyDescent="0.3">
      <c r="A327" s="54" t="s">
        <v>602</v>
      </c>
      <c r="B327" s="20" t="s">
        <v>487</v>
      </c>
      <c r="C327" s="23" t="s">
        <v>463</v>
      </c>
      <c r="D327" s="21">
        <v>45944</v>
      </c>
      <c r="E327" s="20">
        <v>1</v>
      </c>
      <c r="F327" s="20">
        <v>2025</v>
      </c>
      <c r="G327" s="4" t="s">
        <v>621</v>
      </c>
      <c r="H327" s="23" t="s">
        <v>383</v>
      </c>
      <c r="I327" s="20" t="s">
        <v>384</v>
      </c>
      <c r="J327" s="67" t="s">
        <v>387</v>
      </c>
    </row>
    <row r="328" spans="1:10" x14ac:dyDescent="0.3">
      <c r="A328" s="54" t="s">
        <v>577</v>
      </c>
      <c r="B328" s="20" t="s">
        <v>456</v>
      </c>
      <c r="C328" s="23" t="s">
        <v>463</v>
      </c>
      <c r="D328" s="21">
        <v>45938</v>
      </c>
      <c r="E328" s="20">
        <v>1</v>
      </c>
      <c r="F328" s="20">
        <v>2025</v>
      </c>
      <c r="G328" s="4" t="s">
        <v>621</v>
      </c>
      <c r="H328" s="23" t="s">
        <v>383</v>
      </c>
      <c r="I328" s="20" t="s">
        <v>384</v>
      </c>
      <c r="J328" s="67" t="s">
        <v>385</v>
      </c>
    </row>
    <row r="329" spans="1:10" x14ac:dyDescent="0.3">
      <c r="A329" s="54" t="s">
        <v>559</v>
      </c>
      <c r="B329" s="20" t="s">
        <v>437</v>
      </c>
      <c r="C329" s="23" t="s">
        <v>463</v>
      </c>
      <c r="D329" s="21">
        <v>45938</v>
      </c>
      <c r="E329" s="20">
        <v>1</v>
      </c>
      <c r="F329" s="20">
        <v>2025</v>
      </c>
      <c r="G329" s="30" t="s">
        <v>620</v>
      </c>
      <c r="H329" s="23" t="s">
        <v>383</v>
      </c>
      <c r="I329" s="20" t="s">
        <v>384</v>
      </c>
      <c r="J329" s="67" t="s">
        <v>385</v>
      </c>
    </row>
    <row r="330" spans="1:10" x14ac:dyDescent="0.3">
      <c r="A330" s="54" t="s">
        <v>559</v>
      </c>
      <c r="B330" s="20" t="s">
        <v>437</v>
      </c>
      <c r="C330" s="23" t="s">
        <v>479</v>
      </c>
      <c r="D330" s="21">
        <v>45947</v>
      </c>
      <c r="E330" s="20">
        <v>1</v>
      </c>
      <c r="F330" s="20">
        <v>2025</v>
      </c>
      <c r="G330" s="23" t="s">
        <v>620</v>
      </c>
      <c r="H330" s="23" t="s">
        <v>383</v>
      </c>
      <c r="I330" s="20" t="s">
        <v>384</v>
      </c>
      <c r="J330" s="67" t="s">
        <v>385</v>
      </c>
    </row>
    <row r="331" spans="1:10" x14ac:dyDescent="0.3">
      <c r="A331" s="54" t="s">
        <v>588</v>
      </c>
      <c r="B331" s="29" t="s">
        <v>471</v>
      </c>
      <c r="C331" s="23" t="s">
        <v>463</v>
      </c>
      <c r="D331" s="21">
        <v>45939</v>
      </c>
      <c r="E331" s="20">
        <v>1</v>
      </c>
      <c r="F331" s="20">
        <v>2025</v>
      </c>
      <c r="G331" s="4" t="s">
        <v>621</v>
      </c>
      <c r="H331" s="23" t="s">
        <v>383</v>
      </c>
      <c r="I331" s="20" t="s">
        <v>384</v>
      </c>
      <c r="J331" s="67" t="s">
        <v>390</v>
      </c>
    </row>
    <row r="332" spans="1:10" x14ac:dyDescent="0.3">
      <c r="A332" s="54" t="s">
        <v>588</v>
      </c>
      <c r="B332" s="29" t="s">
        <v>471</v>
      </c>
      <c r="C332" s="23" t="s">
        <v>479</v>
      </c>
      <c r="D332" s="21">
        <v>45950</v>
      </c>
      <c r="E332" s="20">
        <v>1</v>
      </c>
      <c r="F332" s="20">
        <v>2025</v>
      </c>
      <c r="G332" s="4" t="s">
        <v>621</v>
      </c>
      <c r="H332" s="23" t="s">
        <v>383</v>
      </c>
      <c r="I332" s="20" t="s">
        <v>384</v>
      </c>
      <c r="J332" s="67" t="s">
        <v>390</v>
      </c>
    </row>
    <row r="333" spans="1:10" x14ac:dyDescent="0.3">
      <c r="A333" s="54" t="s">
        <v>557</v>
      </c>
      <c r="B333" s="20" t="s">
        <v>435</v>
      </c>
      <c r="C333" s="23" t="s">
        <v>463</v>
      </c>
      <c r="D333" s="21">
        <v>45938</v>
      </c>
      <c r="E333" s="20">
        <v>1</v>
      </c>
      <c r="F333" s="20">
        <v>2025</v>
      </c>
      <c r="G333" s="30" t="s">
        <v>619</v>
      </c>
      <c r="H333" s="23" t="s">
        <v>383</v>
      </c>
      <c r="I333" s="20" t="s">
        <v>384</v>
      </c>
      <c r="J333" s="67" t="s">
        <v>385</v>
      </c>
    </row>
    <row r="334" spans="1:10" x14ac:dyDescent="0.3">
      <c r="A334" s="54" t="s">
        <v>557</v>
      </c>
      <c r="B334" s="20" t="s">
        <v>435</v>
      </c>
      <c r="C334" s="23" t="s">
        <v>479</v>
      </c>
      <c r="D334" s="21">
        <v>45947</v>
      </c>
      <c r="E334" s="20">
        <v>1</v>
      </c>
      <c r="F334" s="20">
        <v>2025</v>
      </c>
      <c r="G334" s="23" t="s">
        <v>619</v>
      </c>
      <c r="H334" s="23" t="s">
        <v>383</v>
      </c>
      <c r="I334" s="20" t="s">
        <v>384</v>
      </c>
      <c r="J334" s="67" t="s">
        <v>385</v>
      </c>
    </row>
    <row r="335" spans="1:10" x14ac:dyDescent="0.3">
      <c r="A335" s="54" t="s">
        <v>551</v>
      </c>
      <c r="B335" s="20" t="s">
        <v>429</v>
      </c>
      <c r="C335" s="23" t="s">
        <v>463</v>
      </c>
      <c r="D335" s="21">
        <v>45939</v>
      </c>
      <c r="E335" s="20">
        <v>1</v>
      </c>
      <c r="F335" s="20">
        <v>2025</v>
      </c>
      <c r="G335" s="4" t="s">
        <v>621</v>
      </c>
      <c r="H335" s="23" t="s">
        <v>383</v>
      </c>
      <c r="I335" s="20" t="s">
        <v>384</v>
      </c>
      <c r="J335" s="67" t="s">
        <v>387</v>
      </c>
    </row>
    <row r="336" spans="1:10" x14ac:dyDescent="0.3">
      <c r="A336" s="54" t="s">
        <v>551</v>
      </c>
      <c r="B336" s="20" t="s">
        <v>429</v>
      </c>
      <c r="C336" s="23" t="s">
        <v>479</v>
      </c>
      <c r="D336" s="21">
        <v>45947</v>
      </c>
      <c r="E336" s="20">
        <v>1</v>
      </c>
      <c r="F336" s="20">
        <v>2025</v>
      </c>
      <c r="G336" s="4" t="s">
        <v>621</v>
      </c>
      <c r="H336" s="23" t="s">
        <v>383</v>
      </c>
      <c r="I336" s="20" t="s">
        <v>384</v>
      </c>
      <c r="J336" s="67" t="s">
        <v>387</v>
      </c>
    </row>
    <row r="337" spans="1:10" x14ac:dyDescent="0.3">
      <c r="A337" s="54" t="s">
        <v>594</v>
      </c>
      <c r="B337" s="20" t="s">
        <v>477</v>
      </c>
      <c r="C337" s="23" t="s">
        <v>463</v>
      </c>
      <c r="D337" s="21">
        <v>45938</v>
      </c>
      <c r="E337" s="20">
        <v>1</v>
      </c>
      <c r="F337" s="20">
        <v>2025</v>
      </c>
      <c r="G337" s="4" t="s">
        <v>621</v>
      </c>
      <c r="H337" s="23" t="s">
        <v>383</v>
      </c>
      <c r="I337" s="20" t="s">
        <v>384</v>
      </c>
      <c r="J337" s="67" t="s">
        <v>390</v>
      </c>
    </row>
    <row r="338" spans="1:10" x14ac:dyDescent="0.3">
      <c r="A338" s="54" t="s">
        <v>542</v>
      </c>
      <c r="B338" s="20" t="s">
        <v>420</v>
      </c>
      <c r="C338" s="23" t="s">
        <v>463</v>
      </c>
      <c r="D338" s="21">
        <v>45938</v>
      </c>
      <c r="E338" s="20">
        <v>1</v>
      </c>
      <c r="F338" s="20">
        <v>2025</v>
      </c>
      <c r="G338" s="30" t="s">
        <v>619</v>
      </c>
      <c r="H338" s="23" t="s">
        <v>383</v>
      </c>
      <c r="I338" s="20" t="s">
        <v>384</v>
      </c>
      <c r="J338" s="67" t="s">
        <v>390</v>
      </c>
    </row>
    <row r="339" spans="1:10" x14ac:dyDescent="0.3">
      <c r="A339" s="54" t="s">
        <v>542</v>
      </c>
      <c r="B339" s="20" t="s">
        <v>420</v>
      </c>
      <c r="C339" s="23" t="s">
        <v>479</v>
      </c>
      <c r="D339" s="21">
        <v>45947</v>
      </c>
      <c r="E339" s="20">
        <v>1</v>
      </c>
      <c r="F339" s="20">
        <v>2025</v>
      </c>
      <c r="G339" s="23" t="s">
        <v>619</v>
      </c>
      <c r="H339" s="23" t="s">
        <v>383</v>
      </c>
      <c r="I339" s="20" t="s">
        <v>384</v>
      </c>
      <c r="J339" s="67" t="s">
        <v>390</v>
      </c>
    </row>
    <row r="340" spans="1:10" x14ac:dyDescent="0.3">
      <c r="A340" s="54" t="s">
        <v>528</v>
      </c>
      <c r="B340" s="20" t="s">
        <v>406</v>
      </c>
      <c r="C340" s="23" t="s">
        <v>463</v>
      </c>
      <c r="D340" s="21">
        <v>45937</v>
      </c>
      <c r="E340" s="20">
        <v>1</v>
      </c>
      <c r="F340" s="20">
        <v>2025</v>
      </c>
      <c r="G340" s="4" t="s">
        <v>621</v>
      </c>
      <c r="H340" s="23" t="s">
        <v>383</v>
      </c>
      <c r="I340" s="20" t="s">
        <v>384</v>
      </c>
      <c r="J340" s="67" t="s">
        <v>387</v>
      </c>
    </row>
    <row r="341" spans="1:10" x14ac:dyDescent="0.3">
      <c r="A341" s="54" t="s">
        <v>528</v>
      </c>
      <c r="B341" s="20" t="s">
        <v>406</v>
      </c>
      <c r="C341" s="23" t="s">
        <v>479</v>
      </c>
      <c r="D341" s="21">
        <v>45950</v>
      </c>
      <c r="E341" s="20">
        <v>1</v>
      </c>
      <c r="F341" s="20">
        <v>2025</v>
      </c>
      <c r="G341" s="4" t="s">
        <v>621</v>
      </c>
      <c r="H341" s="23" t="s">
        <v>383</v>
      </c>
      <c r="I341" s="20" t="s">
        <v>384</v>
      </c>
      <c r="J341" s="67" t="s">
        <v>387</v>
      </c>
    </row>
    <row r="342" spans="1:10" x14ac:dyDescent="0.3">
      <c r="A342" s="54" t="s">
        <v>517</v>
      </c>
      <c r="B342" s="20" t="s">
        <v>395</v>
      </c>
      <c r="C342" s="23" t="s">
        <v>463</v>
      </c>
      <c r="D342" s="21">
        <v>45937</v>
      </c>
      <c r="E342" s="20">
        <v>1</v>
      </c>
      <c r="F342" s="20">
        <v>2025</v>
      </c>
      <c r="G342" s="4" t="s">
        <v>621</v>
      </c>
      <c r="H342" s="23" t="s">
        <v>383</v>
      </c>
      <c r="I342" s="20" t="s">
        <v>384</v>
      </c>
      <c r="J342" s="67" t="s">
        <v>387</v>
      </c>
    </row>
    <row r="343" spans="1:10" x14ac:dyDescent="0.3">
      <c r="A343" s="54" t="s">
        <v>517</v>
      </c>
      <c r="B343" s="20" t="s">
        <v>395</v>
      </c>
      <c r="C343" s="23" t="s">
        <v>479</v>
      </c>
      <c r="D343" s="21">
        <v>45947</v>
      </c>
      <c r="E343" s="20">
        <v>1</v>
      </c>
      <c r="F343" s="20">
        <v>2025</v>
      </c>
      <c r="G343" s="4" t="s">
        <v>621</v>
      </c>
      <c r="H343" s="23" t="s">
        <v>383</v>
      </c>
      <c r="I343" s="20" t="s">
        <v>384</v>
      </c>
      <c r="J343" s="67" t="s">
        <v>387</v>
      </c>
    </row>
    <row r="344" spans="1:10" x14ac:dyDescent="0.3">
      <c r="A344" s="54" t="s">
        <v>603</v>
      </c>
      <c r="B344" s="20" t="s">
        <v>488</v>
      </c>
      <c r="C344" s="23" t="s">
        <v>463</v>
      </c>
      <c r="D344" s="21">
        <v>45938</v>
      </c>
      <c r="E344" s="20">
        <v>1</v>
      </c>
      <c r="F344" s="20">
        <v>2025</v>
      </c>
      <c r="G344" s="4" t="s">
        <v>621</v>
      </c>
      <c r="H344" s="23" t="s">
        <v>383</v>
      </c>
      <c r="I344" s="20" t="s">
        <v>384</v>
      </c>
      <c r="J344" s="67" t="s">
        <v>387</v>
      </c>
    </row>
    <row r="345" spans="1:10" x14ac:dyDescent="0.3">
      <c r="A345" s="54" t="s">
        <v>603</v>
      </c>
      <c r="B345" s="20" t="s">
        <v>488</v>
      </c>
      <c r="C345" s="23" t="s">
        <v>479</v>
      </c>
      <c r="D345" s="21">
        <v>45947</v>
      </c>
      <c r="E345" s="20">
        <v>1</v>
      </c>
      <c r="F345" s="20">
        <v>2025</v>
      </c>
      <c r="G345" s="4" t="s">
        <v>621</v>
      </c>
      <c r="H345" s="23" t="s">
        <v>383</v>
      </c>
      <c r="I345" s="20" t="s">
        <v>384</v>
      </c>
      <c r="J345" s="67" t="s">
        <v>387</v>
      </c>
    </row>
    <row r="346" spans="1:10" x14ac:dyDescent="0.3">
      <c r="A346" s="54" t="s">
        <v>589</v>
      </c>
      <c r="B346" s="23" t="s">
        <v>472</v>
      </c>
      <c r="C346" s="23" t="s">
        <v>463</v>
      </c>
      <c r="D346" s="21">
        <v>45939</v>
      </c>
      <c r="E346" s="20">
        <v>1</v>
      </c>
      <c r="F346" s="20">
        <v>2025</v>
      </c>
      <c r="G346" s="4" t="s">
        <v>621</v>
      </c>
      <c r="H346" s="23" t="s">
        <v>383</v>
      </c>
      <c r="I346" s="20" t="s">
        <v>384</v>
      </c>
      <c r="J346" s="67" t="s">
        <v>390</v>
      </c>
    </row>
    <row r="347" spans="1:10" x14ac:dyDescent="0.3">
      <c r="A347" s="54" t="s">
        <v>589</v>
      </c>
      <c r="B347" s="23" t="s">
        <v>472</v>
      </c>
      <c r="C347" s="23" t="s">
        <v>479</v>
      </c>
      <c r="D347" s="21">
        <v>45950</v>
      </c>
      <c r="E347" s="20">
        <v>1</v>
      </c>
      <c r="F347" s="20">
        <v>2025</v>
      </c>
      <c r="G347" s="4" t="s">
        <v>621</v>
      </c>
      <c r="H347" s="23" t="s">
        <v>383</v>
      </c>
      <c r="I347" s="20" t="s">
        <v>384</v>
      </c>
      <c r="J347" s="67" t="s">
        <v>390</v>
      </c>
    </row>
    <row r="348" spans="1:10" x14ac:dyDescent="0.3">
      <c r="A348" s="54" t="s">
        <v>516</v>
      </c>
      <c r="B348" s="20" t="s">
        <v>394</v>
      </c>
      <c r="C348" s="23" t="s">
        <v>463</v>
      </c>
      <c r="D348" s="21">
        <v>45937</v>
      </c>
      <c r="E348" s="20">
        <v>1</v>
      </c>
      <c r="F348" s="20">
        <v>2025</v>
      </c>
      <c r="G348" s="4" t="s">
        <v>621</v>
      </c>
      <c r="H348" s="23" t="s">
        <v>383</v>
      </c>
      <c r="I348" s="20" t="s">
        <v>384</v>
      </c>
      <c r="J348" s="67" t="s">
        <v>387</v>
      </c>
    </row>
    <row r="349" spans="1:10" x14ac:dyDescent="0.3">
      <c r="A349" s="54" t="s">
        <v>516</v>
      </c>
      <c r="B349" s="20" t="s">
        <v>394</v>
      </c>
      <c r="C349" s="23" t="s">
        <v>479</v>
      </c>
      <c r="D349" s="21">
        <v>45947</v>
      </c>
      <c r="E349" s="20">
        <v>1</v>
      </c>
      <c r="F349" s="20">
        <v>2025</v>
      </c>
      <c r="G349" s="4" t="s">
        <v>621</v>
      </c>
      <c r="H349" s="23" t="s">
        <v>383</v>
      </c>
      <c r="I349" s="20" t="s">
        <v>384</v>
      </c>
      <c r="J349" s="67" t="s">
        <v>387</v>
      </c>
    </row>
    <row r="350" spans="1:10" x14ac:dyDescent="0.3">
      <c r="A350" s="54" t="s">
        <v>524</v>
      </c>
      <c r="B350" s="20" t="s">
        <v>402</v>
      </c>
      <c r="C350" s="23" t="s">
        <v>463</v>
      </c>
      <c r="D350" s="21">
        <v>45938</v>
      </c>
      <c r="E350" s="20">
        <v>1</v>
      </c>
      <c r="F350" s="20">
        <v>2025</v>
      </c>
      <c r="G350" s="4" t="s">
        <v>621</v>
      </c>
      <c r="H350" s="23" t="s">
        <v>383</v>
      </c>
      <c r="I350" s="20" t="s">
        <v>384</v>
      </c>
      <c r="J350" s="67" t="s">
        <v>387</v>
      </c>
    </row>
    <row r="351" spans="1:10" x14ac:dyDescent="0.3">
      <c r="A351" s="54" t="s">
        <v>524</v>
      </c>
      <c r="B351" s="20" t="s">
        <v>402</v>
      </c>
      <c r="C351" s="23" t="s">
        <v>479</v>
      </c>
      <c r="D351" s="21">
        <v>45947</v>
      </c>
      <c r="E351" s="20">
        <v>1</v>
      </c>
      <c r="F351" s="20">
        <v>2025</v>
      </c>
      <c r="G351" s="4" t="s">
        <v>621</v>
      </c>
      <c r="H351" s="23" t="s">
        <v>383</v>
      </c>
      <c r="I351" s="20" t="s">
        <v>384</v>
      </c>
      <c r="J351" s="67" t="s">
        <v>387</v>
      </c>
    </row>
    <row r="352" spans="1:10" x14ac:dyDescent="0.3">
      <c r="A352" s="54" t="s">
        <v>537</v>
      </c>
      <c r="B352" s="20" t="s">
        <v>415</v>
      </c>
      <c r="C352" s="23" t="s">
        <v>463</v>
      </c>
      <c r="D352" s="21">
        <v>45938</v>
      </c>
      <c r="E352" s="20">
        <v>1</v>
      </c>
      <c r="F352" s="20">
        <v>2025</v>
      </c>
      <c r="G352" s="4" t="s">
        <v>621</v>
      </c>
      <c r="H352" s="23" t="s">
        <v>383</v>
      </c>
      <c r="I352" s="20" t="s">
        <v>384</v>
      </c>
      <c r="J352" s="67" t="s">
        <v>387</v>
      </c>
    </row>
    <row r="353" spans="1:10" x14ac:dyDescent="0.3">
      <c r="A353" s="54" t="s">
        <v>537</v>
      </c>
      <c r="B353" s="20" t="s">
        <v>415</v>
      </c>
      <c r="C353" s="23" t="s">
        <v>479</v>
      </c>
      <c r="D353" s="21">
        <v>45950</v>
      </c>
      <c r="E353" s="20">
        <v>1</v>
      </c>
      <c r="F353" s="20">
        <v>2025</v>
      </c>
      <c r="G353" s="4" t="s">
        <v>621</v>
      </c>
      <c r="H353" s="23" t="s">
        <v>383</v>
      </c>
      <c r="I353" s="20" t="s">
        <v>384</v>
      </c>
      <c r="J353" s="67" t="s">
        <v>387</v>
      </c>
    </row>
    <row r="354" spans="1:10" x14ac:dyDescent="0.3">
      <c r="A354" s="54" t="s">
        <v>550</v>
      </c>
      <c r="B354" s="20" t="s">
        <v>428</v>
      </c>
      <c r="C354" s="23" t="s">
        <v>463</v>
      </c>
      <c r="D354" s="21">
        <v>45939</v>
      </c>
      <c r="E354" s="20">
        <v>1</v>
      </c>
      <c r="F354" s="20">
        <v>2025</v>
      </c>
      <c r="G354" s="4" t="s">
        <v>621</v>
      </c>
      <c r="H354" s="23" t="s">
        <v>383</v>
      </c>
      <c r="I354" s="20" t="s">
        <v>384</v>
      </c>
      <c r="J354" s="67" t="s">
        <v>387</v>
      </c>
    </row>
    <row r="355" spans="1:10" x14ac:dyDescent="0.3">
      <c r="A355" s="54" t="s">
        <v>550</v>
      </c>
      <c r="B355" s="20" t="s">
        <v>428</v>
      </c>
      <c r="C355" s="23" t="s">
        <v>479</v>
      </c>
      <c r="D355" s="21">
        <v>45947</v>
      </c>
      <c r="E355" s="20">
        <v>1</v>
      </c>
      <c r="F355" s="20">
        <v>2025</v>
      </c>
      <c r="G355" s="4" t="s">
        <v>621</v>
      </c>
      <c r="H355" s="23" t="s">
        <v>383</v>
      </c>
      <c r="I355" s="20" t="s">
        <v>384</v>
      </c>
      <c r="J355" s="67" t="s">
        <v>387</v>
      </c>
    </row>
    <row r="356" spans="1:10" x14ac:dyDescent="0.3">
      <c r="A356" s="54" t="s">
        <v>521</v>
      </c>
      <c r="B356" s="20" t="s">
        <v>399</v>
      </c>
      <c r="C356" s="23" t="s">
        <v>463</v>
      </c>
      <c r="D356" s="21">
        <v>45937</v>
      </c>
      <c r="E356" s="20">
        <v>1</v>
      </c>
      <c r="F356" s="20">
        <v>2025</v>
      </c>
      <c r="G356" s="4" t="s">
        <v>621</v>
      </c>
      <c r="H356" s="23" t="s">
        <v>383</v>
      </c>
      <c r="I356" s="20" t="s">
        <v>384</v>
      </c>
      <c r="J356" s="67" t="s">
        <v>387</v>
      </c>
    </row>
    <row r="357" spans="1:10" x14ac:dyDescent="0.3">
      <c r="A357" s="54" t="s">
        <v>521</v>
      </c>
      <c r="B357" s="20" t="s">
        <v>399</v>
      </c>
      <c r="C357" s="23" t="s">
        <v>479</v>
      </c>
      <c r="D357" s="21">
        <v>45947</v>
      </c>
      <c r="E357" s="20">
        <v>1</v>
      </c>
      <c r="F357" s="20">
        <v>2025</v>
      </c>
      <c r="G357" s="4" t="s">
        <v>621</v>
      </c>
      <c r="H357" s="23" t="s">
        <v>383</v>
      </c>
      <c r="I357" s="20" t="s">
        <v>384</v>
      </c>
      <c r="J357" s="67" t="s">
        <v>387</v>
      </c>
    </row>
    <row r="358" spans="1:10" x14ac:dyDescent="0.3">
      <c r="A358" s="54" t="s">
        <v>604</v>
      </c>
      <c r="B358" s="20" t="s">
        <v>489</v>
      </c>
      <c r="C358" s="23" t="s">
        <v>463</v>
      </c>
      <c r="D358" s="21">
        <v>45937</v>
      </c>
      <c r="E358" s="20">
        <v>1</v>
      </c>
      <c r="F358" s="20">
        <v>2025</v>
      </c>
      <c r="G358" s="4" t="s">
        <v>621</v>
      </c>
      <c r="H358" s="23" t="s">
        <v>383</v>
      </c>
      <c r="I358" s="20" t="s">
        <v>384</v>
      </c>
      <c r="J358" s="67" t="s">
        <v>387</v>
      </c>
    </row>
    <row r="359" spans="1:10" x14ac:dyDescent="0.3">
      <c r="A359" s="54" t="s">
        <v>604</v>
      </c>
      <c r="B359" s="20" t="s">
        <v>489</v>
      </c>
      <c r="C359" s="23" t="s">
        <v>479</v>
      </c>
      <c r="D359" s="21">
        <v>45947</v>
      </c>
      <c r="E359" s="20">
        <v>1</v>
      </c>
      <c r="F359" s="20">
        <v>2025</v>
      </c>
      <c r="G359" s="4" t="s">
        <v>621</v>
      </c>
      <c r="H359" s="23" t="s">
        <v>383</v>
      </c>
      <c r="I359" s="20" t="s">
        <v>384</v>
      </c>
      <c r="J359" s="67" t="s">
        <v>387</v>
      </c>
    </row>
    <row r="360" spans="1:10" x14ac:dyDescent="0.3">
      <c r="A360" s="54" t="s">
        <v>605</v>
      </c>
      <c r="B360" s="20" t="s">
        <v>490</v>
      </c>
      <c r="C360" s="23" t="s">
        <v>463</v>
      </c>
      <c r="D360" s="21">
        <v>45938</v>
      </c>
      <c r="E360" s="20">
        <v>1</v>
      </c>
      <c r="F360" s="20">
        <v>2025</v>
      </c>
      <c r="G360" s="4" t="s">
        <v>621</v>
      </c>
      <c r="H360" s="23" t="s">
        <v>383</v>
      </c>
      <c r="I360" s="20" t="s">
        <v>384</v>
      </c>
      <c r="J360" s="67" t="s">
        <v>385</v>
      </c>
    </row>
    <row r="361" spans="1:10" x14ac:dyDescent="0.3">
      <c r="A361" s="54" t="s">
        <v>605</v>
      </c>
      <c r="B361" s="20" t="s">
        <v>490</v>
      </c>
      <c r="C361" s="23" t="s">
        <v>479</v>
      </c>
      <c r="D361" s="21">
        <v>45950</v>
      </c>
      <c r="E361" s="20">
        <v>1</v>
      </c>
      <c r="F361" s="20">
        <v>2025</v>
      </c>
      <c r="G361" s="4" t="s">
        <v>621</v>
      </c>
      <c r="H361" s="23" t="s">
        <v>383</v>
      </c>
      <c r="I361" s="20" t="s">
        <v>384</v>
      </c>
      <c r="J361" s="67" t="s">
        <v>385</v>
      </c>
    </row>
    <row r="362" spans="1:10" x14ac:dyDescent="0.3">
      <c r="A362" s="54" t="s">
        <v>581</v>
      </c>
      <c r="B362" s="20" t="s">
        <v>461</v>
      </c>
      <c r="C362" s="23" t="s">
        <v>463</v>
      </c>
      <c r="D362" s="21">
        <v>45938</v>
      </c>
      <c r="E362" s="20">
        <v>1</v>
      </c>
      <c r="F362" s="20">
        <v>2025</v>
      </c>
      <c r="G362" s="4" t="s">
        <v>621</v>
      </c>
      <c r="H362" s="23" t="s">
        <v>383</v>
      </c>
      <c r="I362" s="20" t="s">
        <v>384</v>
      </c>
      <c r="J362" s="67" t="s">
        <v>385</v>
      </c>
    </row>
    <row r="363" spans="1:10" x14ac:dyDescent="0.3">
      <c r="A363" s="54" t="s">
        <v>520</v>
      </c>
      <c r="B363" s="20" t="s">
        <v>398</v>
      </c>
      <c r="C363" s="23" t="s">
        <v>463</v>
      </c>
      <c r="D363" s="21">
        <v>45937</v>
      </c>
      <c r="E363" s="20">
        <v>1</v>
      </c>
      <c r="F363" s="20">
        <v>2025</v>
      </c>
      <c r="G363" s="4" t="s">
        <v>621</v>
      </c>
      <c r="H363" s="23" t="s">
        <v>383</v>
      </c>
      <c r="I363" s="20" t="s">
        <v>384</v>
      </c>
      <c r="J363" s="67" t="s">
        <v>387</v>
      </c>
    </row>
    <row r="364" spans="1:10" x14ac:dyDescent="0.3">
      <c r="A364" s="54" t="s">
        <v>520</v>
      </c>
      <c r="B364" s="20" t="s">
        <v>398</v>
      </c>
      <c r="C364" s="23" t="s">
        <v>479</v>
      </c>
      <c r="D364" s="21">
        <v>45947</v>
      </c>
      <c r="E364" s="20">
        <v>1</v>
      </c>
      <c r="F364" s="20">
        <v>2025</v>
      </c>
      <c r="G364" s="4" t="s">
        <v>621</v>
      </c>
      <c r="H364" s="23" t="s">
        <v>383</v>
      </c>
      <c r="I364" s="20" t="s">
        <v>384</v>
      </c>
      <c r="J364" s="67" t="s">
        <v>387</v>
      </c>
    </row>
    <row r="365" spans="1:10" x14ac:dyDescent="0.3">
      <c r="A365" s="54" t="s">
        <v>606</v>
      </c>
      <c r="B365" s="20" t="s">
        <v>491</v>
      </c>
      <c r="C365" s="23" t="s">
        <v>463</v>
      </c>
      <c r="D365" s="21">
        <v>45947</v>
      </c>
      <c r="E365" s="20">
        <v>1</v>
      </c>
      <c r="F365" s="20">
        <v>2025</v>
      </c>
      <c r="G365" s="4" t="s">
        <v>621</v>
      </c>
      <c r="H365" s="23" t="s">
        <v>383</v>
      </c>
      <c r="I365" s="20" t="s">
        <v>384</v>
      </c>
      <c r="J365" s="67" t="s">
        <v>387</v>
      </c>
    </row>
    <row r="366" spans="1:10" x14ac:dyDescent="0.3">
      <c r="A366" s="54" t="s">
        <v>606</v>
      </c>
      <c r="B366" s="20" t="s">
        <v>491</v>
      </c>
      <c r="C366" s="23" t="s">
        <v>479</v>
      </c>
      <c r="D366" s="21">
        <v>45954</v>
      </c>
      <c r="E366" s="20">
        <v>1</v>
      </c>
      <c r="F366" s="20">
        <v>2025</v>
      </c>
      <c r="G366" s="4" t="s">
        <v>621</v>
      </c>
      <c r="H366" s="23" t="s">
        <v>383</v>
      </c>
      <c r="I366" s="20" t="s">
        <v>384</v>
      </c>
      <c r="J366" s="67" t="s">
        <v>387</v>
      </c>
    </row>
    <row r="367" spans="1:10" x14ac:dyDescent="0.3">
      <c r="A367" s="54" t="s">
        <v>580</v>
      </c>
      <c r="B367" s="20" t="s">
        <v>459</v>
      </c>
      <c r="C367" s="23" t="s">
        <v>463</v>
      </c>
      <c r="D367" s="21">
        <v>45937</v>
      </c>
      <c r="E367" s="20">
        <v>1</v>
      </c>
      <c r="F367" s="20">
        <v>2025</v>
      </c>
      <c r="G367" s="4" t="s">
        <v>621</v>
      </c>
      <c r="H367" s="23" t="s">
        <v>383</v>
      </c>
      <c r="I367" s="20" t="s">
        <v>384</v>
      </c>
      <c r="J367" s="67" t="s">
        <v>387</v>
      </c>
    </row>
    <row r="368" spans="1:10" x14ac:dyDescent="0.3">
      <c r="A368" s="54" t="s">
        <v>607</v>
      </c>
      <c r="B368" s="20" t="s">
        <v>492</v>
      </c>
      <c r="C368" s="23" t="s">
        <v>479</v>
      </c>
      <c r="D368" s="21">
        <v>45953</v>
      </c>
      <c r="E368" s="20">
        <v>1</v>
      </c>
      <c r="F368" s="20">
        <v>2025</v>
      </c>
      <c r="G368" s="4" t="s">
        <v>621</v>
      </c>
      <c r="H368" s="23" t="s">
        <v>383</v>
      </c>
      <c r="I368" s="20" t="s">
        <v>384</v>
      </c>
      <c r="J368" s="67" t="s">
        <v>387</v>
      </c>
    </row>
    <row r="369" spans="1:10" x14ac:dyDescent="0.3">
      <c r="A369" s="54" t="s">
        <v>557</v>
      </c>
      <c r="B369" s="20" t="s">
        <v>435</v>
      </c>
      <c r="C369" s="23" t="s">
        <v>481</v>
      </c>
      <c r="D369" s="21">
        <v>45959</v>
      </c>
      <c r="E369" s="20">
        <v>1</v>
      </c>
      <c r="F369" s="20">
        <v>2025</v>
      </c>
      <c r="G369" s="30" t="s">
        <v>619</v>
      </c>
      <c r="H369" s="23" t="s">
        <v>383</v>
      </c>
      <c r="I369" s="20" t="s">
        <v>384</v>
      </c>
      <c r="J369" s="67" t="s">
        <v>385</v>
      </c>
    </row>
    <row r="370" spans="1:10" x14ac:dyDescent="0.3">
      <c r="A370" s="54" t="s">
        <v>577</v>
      </c>
      <c r="B370" s="20" t="s">
        <v>456</v>
      </c>
      <c r="C370" s="23" t="s">
        <v>479</v>
      </c>
      <c r="D370" s="21">
        <v>45960</v>
      </c>
      <c r="E370" s="20">
        <v>1</v>
      </c>
      <c r="F370" s="20">
        <v>2025</v>
      </c>
      <c r="G370" s="4" t="s">
        <v>621</v>
      </c>
      <c r="H370" s="23" t="s">
        <v>383</v>
      </c>
      <c r="I370" s="20" t="s">
        <v>384</v>
      </c>
      <c r="J370" s="67" t="s">
        <v>385</v>
      </c>
    </row>
    <row r="371" spans="1:10" x14ac:dyDescent="0.3">
      <c r="A371" s="54" t="s">
        <v>563</v>
      </c>
      <c r="B371" s="20" t="s">
        <v>441</v>
      </c>
      <c r="C371" s="23" t="s">
        <v>463</v>
      </c>
      <c r="D371" s="21">
        <v>45946</v>
      </c>
      <c r="E371" s="20">
        <v>1</v>
      </c>
      <c r="F371" s="20">
        <v>2025</v>
      </c>
      <c r="G371" s="4" t="s">
        <v>621</v>
      </c>
      <c r="H371" s="23" t="s">
        <v>383</v>
      </c>
      <c r="I371" s="20" t="s">
        <v>384</v>
      </c>
      <c r="J371" s="67" t="s">
        <v>385</v>
      </c>
    </row>
    <row r="372" spans="1:10" x14ac:dyDescent="0.3">
      <c r="A372" s="54" t="s">
        <v>563</v>
      </c>
      <c r="B372" s="20" t="s">
        <v>441</v>
      </c>
      <c r="C372" s="23" t="s">
        <v>479</v>
      </c>
      <c r="D372" s="21">
        <v>46022</v>
      </c>
      <c r="E372" s="20">
        <v>1</v>
      </c>
      <c r="F372" s="20">
        <v>2025</v>
      </c>
      <c r="G372" s="4" t="s">
        <v>621</v>
      </c>
      <c r="H372" s="23" t="s">
        <v>383</v>
      </c>
      <c r="I372" s="20" t="s">
        <v>384</v>
      </c>
      <c r="J372" s="67" t="s">
        <v>385</v>
      </c>
    </row>
    <row r="373" spans="1:10" x14ac:dyDescent="0.3">
      <c r="A373" s="54" t="s">
        <v>582</v>
      </c>
      <c r="B373" s="20" t="s">
        <v>462</v>
      </c>
      <c r="C373" s="23" t="s">
        <v>445</v>
      </c>
      <c r="D373" s="21">
        <v>46019</v>
      </c>
      <c r="E373" s="20">
        <v>1</v>
      </c>
      <c r="F373" s="20">
        <v>2025</v>
      </c>
      <c r="G373" s="30" t="s">
        <v>620</v>
      </c>
      <c r="H373" s="23" t="s">
        <v>383</v>
      </c>
      <c r="I373" s="20" t="s">
        <v>384</v>
      </c>
      <c r="J373" s="67" t="s">
        <v>390</v>
      </c>
    </row>
    <row r="374" spans="1:10" x14ac:dyDescent="0.3">
      <c r="A374" s="54" t="s">
        <v>517</v>
      </c>
      <c r="B374" s="20" t="s">
        <v>395</v>
      </c>
      <c r="C374" s="23" t="s">
        <v>445</v>
      </c>
      <c r="D374" s="21">
        <v>46019</v>
      </c>
      <c r="E374" s="20">
        <v>1</v>
      </c>
      <c r="F374" s="20">
        <v>2025</v>
      </c>
      <c r="G374" s="4" t="s">
        <v>621</v>
      </c>
      <c r="H374" s="23" t="s">
        <v>383</v>
      </c>
      <c r="I374" s="20" t="s">
        <v>384</v>
      </c>
      <c r="J374" s="67" t="s">
        <v>385</v>
      </c>
    </row>
    <row r="375" spans="1:10" x14ac:dyDescent="0.3">
      <c r="A375" s="54" t="s">
        <v>608</v>
      </c>
      <c r="B375" s="20" t="s">
        <v>493</v>
      </c>
      <c r="C375" s="23" t="s">
        <v>445</v>
      </c>
      <c r="D375" s="21">
        <v>46019</v>
      </c>
      <c r="E375" s="20">
        <v>1</v>
      </c>
      <c r="F375" s="20">
        <v>2025</v>
      </c>
      <c r="G375" s="30" t="s">
        <v>620</v>
      </c>
      <c r="H375" s="23" t="s">
        <v>383</v>
      </c>
      <c r="I375" s="20" t="s">
        <v>384</v>
      </c>
      <c r="J375" s="67" t="s">
        <v>385</v>
      </c>
    </row>
    <row r="376" spans="1:10" x14ac:dyDescent="0.3">
      <c r="A376" s="54" t="s">
        <v>609</v>
      </c>
      <c r="B376" s="23" t="s">
        <v>494</v>
      </c>
      <c r="C376" s="23" t="s">
        <v>463</v>
      </c>
      <c r="D376" s="21">
        <v>46019</v>
      </c>
      <c r="E376" s="20">
        <v>1</v>
      </c>
      <c r="F376" s="20">
        <v>2025</v>
      </c>
      <c r="G376" s="23" t="s">
        <v>619</v>
      </c>
      <c r="H376" s="23" t="s">
        <v>383</v>
      </c>
      <c r="I376" s="20" t="s">
        <v>384</v>
      </c>
      <c r="J376" s="67" t="s">
        <v>385</v>
      </c>
    </row>
    <row r="377" spans="1:10" x14ac:dyDescent="0.3">
      <c r="A377" s="54" t="s">
        <v>609</v>
      </c>
      <c r="B377" s="23" t="s">
        <v>494</v>
      </c>
      <c r="C377" s="23" t="s">
        <v>479</v>
      </c>
      <c r="D377" s="21">
        <v>46019</v>
      </c>
      <c r="E377" s="20">
        <v>1</v>
      </c>
      <c r="F377" s="20">
        <v>2025</v>
      </c>
      <c r="G377" s="23" t="s">
        <v>619</v>
      </c>
      <c r="H377" s="23" t="s">
        <v>383</v>
      </c>
      <c r="I377" s="20" t="s">
        <v>384</v>
      </c>
      <c r="J377" s="67" t="s">
        <v>385</v>
      </c>
    </row>
    <row r="378" spans="1:10" x14ac:dyDescent="0.3">
      <c r="A378" s="54" t="s">
        <v>609</v>
      </c>
      <c r="B378" s="23" t="s">
        <v>494</v>
      </c>
      <c r="C378" s="23" t="s">
        <v>460</v>
      </c>
      <c r="D378" s="21">
        <v>46019</v>
      </c>
      <c r="E378" s="20">
        <v>1</v>
      </c>
      <c r="F378" s="20">
        <v>2025</v>
      </c>
      <c r="G378" s="23" t="s">
        <v>619</v>
      </c>
      <c r="H378" s="23" t="s">
        <v>383</v>
      </c>
      <c r="I378" s="20" t="s">
        <v>384</v>
      </c>
      <c r="J378" s="67" t="s">
        <v>385</v>
      </c>
    </row>
    <row r="379" spans="1:10" x14ac:dyDescent="0.3">
      <c r="A379" s="54" t="s">
        <v>609</v>
      </c>
      <c r="B379" s="23" t="s">
        <v>494</v>
      </c>
      <c r="C379" s="23" t="s">
        <v>464</v>
      </c>
      <c r="D379" s="21">
        <v>46019</v>
      </c>
      <c r="E379" s="20">
        <v>1</v>
      </c>
      <c r="F379" s="20">
        <v>2025</v>
      </c>
      <c r="G379" s="23" t="s">
        <v>619</v>
      </c>
      <c r="H379" s="23" t="s">
        <v>383</v>
      </c>
      <c r="I379" s="20" t="s">
        <v>384</v>
      </c>
      <c r="J379" s="67" t="s">
        <v>385</v>
      </c>
    </row>
    <row r="380" spans="1:10" x14ac:dyDescent="0.3">
      <c r="A380" s="54" t="s">
        <v>553</v>
      </c>
      <c r="B380" s="20" t="s">
        <v>431</v>
      </c>
      <c r="C380" s="23" t="s">
        <v>465</v>
      </c>
      <c r="D380" s="21">
        <v>46019</v>
      </c>
      <c r="E380" s="20">
        <v>1</v>
      </c>
      <c r="F380" s="20">
        <v>2025</v>
      </c>
      <c r="G380" s="4" t="s">
        <v>621</v>
      </c>
      <c r="H380" s="23" t="s">
        <v>383</v>
      </c>
      <c r="I380" s="20" t="s">
        <v>384</v>
      </c>
      <c r="J380" s="67" t="s">
        <v>387</v>
      </c>
    </row>
    <row r="381" spans="1:10" x14ac:dyDescent="0.3">
      <c r="A381" s="54" t="s">
        <v>519</v>
      </c>
      <c r="B381" s="20" t="s">
        <v>397</v>
      </c>
      <c r="C381" s="23" t="s">
        <v>465</v>
      </c>
      <c r="D381" s="21">
        <v>46019</v>
      </c>
      <c r="E381" s="20">
        <v>1</v>
      </c>
      <c r="F381" s="20">
        <v>2025</v>
      </c>
      <c r="G381" s="30" t="s">
        <v>619</v>
      </c>
      <c r="H381" s="23" t="s">
        <v>383</v>
      </c>
      <c r="I381" s="20" t="s">
        <v>384</v>
      </c>
      <c r="J381" s="67" t="s">
        <v>387</v>
      </c>
    </row>
    <row r="382" spans="1:10" x14ac:dyDescent="0.3">
      <c r="A382" s="54" t="s">
        <v>609</v>
      </c>
      <c r="B382" s="20" t="s">
        <v>494</v>
      </c>
      <c r="C382" s="23" t="s">
        <v>465</v>
      </c>
      <c r="D382" s="21">
        <v>46019</v>
      </c>
      <c r="E382" s="20">
        <v>1</v>
      </c>
      <c r="F382" s="20">
        <v>2025</v>
      </c>
      <c r="G382" s="23" t="s">
        <v>619</v>
      </c>
      <c r="H382" s="23" t="s">
        <v>383</v>
      </c>
      <c r="I382" s="20" t="s">
        <v>384</v>
      </c>
      <c r="J382" s="67" t="s">
        <v>385</v>
      </c>
    </row>
    <row r="383" spans="1:10" x14ac:dyDescent="0.3">
      <c r="A383" s="54" t="s">
        <v>599</v>
      </c>
      <c r="B383" s="27" t="s">
        <v>484</v>
      </c>
      <c r="C383" s="23" t="s">
        <v>445</v>
      </c>
      <c r="D383" s="21">
        <v>45834</v>
      </c>
      <c r="E383" s="20">
        <v>1</v>
      </c>
      <c r="F383" s="20">
        <v>2025</v>
      </c>
      <c r="G383" s="4" t="s">
        <v>621</v>
      </c>
      <c r="H383" s="23" t="s">
        <v>383</v>
      </c>
      <c r="I383" s="20" t="s">
        <v>384</v>
      </c>
      <c r="J383" s="67" t="s">
        <v>385</v>
      </c>
    </row>
    <row r="384" spans="1:10" x14ac:dyDescent="0.3">
      <c r="A384" s="54" t="s">
        <v>610</v>
      </c>
      <c r="B384" s="20" t="s">
        <v>495</v>
      </c>
      <c r="C384" s="23" t="s">
        <v>382</v>
      </c>
      <c r="D384" s="21">
        <v>45736</v>
      </c>
      <c r="E384" s="20">
        <v>1</v>
      </c>
      <c r="F384" s="20">
        <v>2025</v>
      </c>
      <c r="G384" s="4" t="s">
        <v>621</v>
      </c>
      <c r="H384" s="23" t="s">
        <v>383</v>
      </c>
      <c r="I384" s="20" t="s">
        <v>384</v>
      </c>
      <c r="J384" s="67" t="s">
        <v>387</v>
      </c>
    </row>
    <row r="385" spans="1:10" x14ac:dyDescent="0.3">
      <c r="A385" s="54" t="s">
        <v>574</v>
      </c>
      <c r="B385" s="20" t="s">
        <v>453</v>
      </c>
      <c r="C385" s="23" t="s">
        <v>382</v>
      </c>
      <c r="D385" s="21">
        <v>45736</v>
      </c>
      <c r="E385" s="20">
        <v>1</v>
      </c>
      <c r="F385" s="20">
        <v>2025</v>
      </c>
      <c r="G385" s="4" t="s">
        <v>621</v>
      </c>
      <c r="H385" s="23" t="s">
        <v>383</v>
      </c>
      <c r="I385" s="20" t="s">
        <v>384</v>
      </c>
      <c r="J385" s="67" t="s">
        <v>390</v>
      </c>
    </row>
    <row r="386" spans="1:10" x14ac:dyDescent="0.3">
      <c r="A386" s="54" t="s">
        <v>611</v>
      </c>
      <c r="B386" s="20" t="s">
        <v>496</v>
      </c>
      <c r="C386" s="23" t="s">
        <v>463</v>
      </c>
      <c r="D386" s="21">
        <v>46022</v>
      </c>
      <c r="E386" s="20">
        <v>1</v>
      </c>
      <c r="F386" s="20">
        <v>2025</v>
      </c>
      <c r="G386" s="4" t="s">
        <v>621</v>
      </c>
      <c r="H386" s="23" t="s">
        <v>383</v>
      </c>
      <c r="I386" s="20" t="s">
        <v>384</v>
      </c>
      <c r="J386" s="67" t="s">
        <v>387</v>
      </c>
    </row>
    <row r="387" spans="1:10" x14ac:dyDescent="0.3">
      <c r="A387" s="54" t="s">
        <v>612</v>
      </c>
      <c r="B387" s="20" t="s">
        <v>497</v>
      </c>
      <c r="C387" s="23" t="s">
        <v>479</v>
      </c>
      <c r="D387" s="21">
        <v>46022</v>
      </c>
      <c r="E387" s="20">
        <v>1</v>
      </c>
      <c r="F387" s="20">
        <v>2025</v>
      </c>
      <c r="G387" s="4" t="s">
        <v>621</v>
      </c>
      <c r="H387" s="23" t="s">
        <v>383</v>
      </c>
      <c r="I387" s="20" t="s">
        <v>384</v>
      </c>
      <c r="J387" s="67" t="s">
        <v>387</v>
      </c>
    </row>
    <row r="388" spans="1:10" x14ac:dyDescent="0.3">
      <c r="A388" s="54" t="s">
        <v>612</v>
      </c>
      <c r="B388" s="20" t="s">
        <v>497</v>
      </c>
      <c r="C388" s="23" t="s">
        <v>445</v>
      </c>
      <c r="D388" s="21">
        <v>45992</v>
      </c>
      <c r="E388" s="20">
        <v>1</v>
      </c>
      <c r="F388" s="20">
        <v>2025</v>
      </c>
      <c r="G388" s="4" t="s">
        <v>621</v>
      </c>
      <c r="H388" s="23" t="s">
        <v>383</v>
      </c>
      <c r="I388" s="20" t="s">
        <v>384</v>
      </c>
      <c r="J388" s="67" t="s">
        <v>387</v>
      </c>
    </row>
    <row r="389" spans="1:10" x14ac:dyDescent="0.3">
      <c r="A389" s="54" t="s">
        <v>613</v>
      </c>
      <c r="B389" s="23" t="s">
        <v>498</v>
      </c>
      <c r="C389" s="20" t="s">
        <v>382</v>
      </c>
      <c r="D389" s="21">
        <v>45896</v>
      </c>
      <c r="E389" s="20">
        <v>1</v>
      </c>
      <c r="F389" s="20">
        <v>2025</v>
      </c>
      <c r="G389" s="4" t="s">
        <v>621</v>
      </c>
      <c r="H389" s="23" t="s">
        <v>383</v>
      </c>
      <c r="I389" s="20" t="s">
        <v>384</v>
      </c>
      <c r="J389" s="67" t="s">
        <v>385</v>
      </c>
    </row>
    <row r="390" spans="1:10" x14ac:dyDescent="0.3">
      <c r="A390" s="54" t="s">
        <v>613</v>
      </c>
      <c r="B390" s="23" t="s">
        <v>498</v>
      </c>
      <c r="C390" s="23" t="s">
        <v>445</v>
      </c>
      <c r="D390" s="21">
        <v>45896</v>
      </c>
      <c r="E390" s="20">
        <v>1</v>
      </c>
      <c r="F390" s="20">
        <v>2025</v>
      </c>
      <c r="G390" s="4" t="s">
        <v>621</v>
      </c>
      <c r="H390" s="23" t="s">
        <v>383</v>
      </c>
      <c r="I390" s="20" t="s">
        <v>384</v>
      </c>
      <c r="J390" s="67" t="s">
        <v>385</v>
      </c>
    </row>
    <row r="391" spans="1:10" x14ac:dyDescent="0.3">
      <c r="A391" s="54" t="s">
        <v>522</v>
      </c>
      <c r="B391" s="23" t="s">
        <v>400</v>
      </c>
      <c r="C391" s="23" t="s">
        <v>464</v>
      </c>
      <c r="D391" s="21">
        <v>45892</v>
      </c>
      <c r="E391" s="20">
        <v>1</v>
      </c>
      <c r="F391" s="20">
        <v>2025</v>
      </c>
      <c r="G391" s="30" t="s">
        <v>619</v>
      </c>
      <c r="H391" s="23" t="s">
        <v>383</v>
      </c>
      <c r="I391" s="20" t="s">
        <v>384</v>
      </c>
      <c r="J391" s="67" t="s">
        <v>387</v>
      </c>
    </row>
    <row r="392" spans="1:10" x14ac:dyDescent="0.3">
      <c r="A392" s="54" t="s">
        <v>614</v>
      </c>
      <c r="B392" s="23" t="s">
        <v>499</v>
      </c>
      <c r="C392" s="20" t="s">
        <v>382</v>
      </c>
      <c r="D392" s="21">
        <v>45896</v>
      </c>
      <c r="E392" s="20">
        <v>1</v>
      </c>
      <c r="F392" s="20">
        <v>2025</v>
      </c>
      <c r="G392" s="4" t="s">
        <v>621</v>
      </c>
      <c r="H392" s="23" t="s">
        <v>383</v>
      </c>
      <c r="I392" s="20" t="s">
        <v>384</v>
      </c>
      <c r="J392" s="67" t="s">
        <v>390</v>
      </c>
    </row>
    <row r="393" spans="1:10" x14ac:dyDescent="0.3">
      <c r="A393" s="54" t="s">
        <v>512</v>
      </c>
      <c r="B393" s="20" t="s">
        <v>389</v>
      </c>
      <c r="C393" s="20" t="s">
        <v>500</v>
      </c>
      <c r="D393" s="21">
        <v>46109</v>
      </c>
      <c r="E393" s="20">
        <v>1</v>
      </c>
      <c r="F393" s="20">
        <v>2026</v>
      </c>
      <c r="G393" s="30" t="s">
        <v>619</v>
      </c>
      <c r="H393" s="23" t="s">
        <v>383</v>
      </c>
      <c r="I393" s="20" t="s">
        <v>384</v>
      </c>
      <c r="J393" s="67" t="s">
        <v>390</v>
      </c>
    </row>
    <row r="394" spans="1:10" x14ac:dyDescent="0.3">
      <c r="A394" s="54" t="s">
        <v>557</v>
      </c>
      <c r="B394" s="20" t="s">
        <v>435</v>
      </c>
      <c r="C394" s="20" t="s">
        <v>500</v>
      </c>
      <c r="D394" s="21">
        <v>46109</v>
      </c>
      <c r="E394" s="20">
        <v>1</v>
      </c>
      <c r="F394" s="20">
        <v>2026</v>
      </c>
      <c r="G394" s="23" t="s">
        <v>619</v>
      </c>
      <c r="H394" s="23" t="s">
        <v>383</v>
      </c>
      <c r="I394" s="20" t="s">
        <v>384</v>
      </c>
      <c r="J394" s="67" t="s">
        <v>385</v>
      </c>
    </row>
    <row r="395" spans="1:10" x14ac:dyDescent="0.3">
      <c r="A395" s="54" t="s">
        <v>511</v>
      </c>
      <c r="B395" s="20" t="s">
        <v>388</v>
      </c>
      <c r="C395" s="20" t="s">
        <v>500</v>
      </c>
      <c r="D395" s="21">
        <v>46109</v>
      </c>
      <c r="E395" s="20">
        <v>1</v>
      </c>
      <c r="F395" s="20">
        <v>2026</v>
      </c>
      <c r="G395" s="23" t="s">
        <v>619</v>
      </c>
      <c r="H395" s="23" t="s">
        <v>383</v>
      </c>
      <c r="I395" s="20" t="s">
        <v>384</v>
      </c>
      <c r="J395" s="67" t="s">
        <v>387</v>
      </c>
    </row>
    <row r="396" spans="1:10" x14ac:dyDescent="0.3">
      <c r="A396" s="54" t="s">
        <v>584</v>
      </c>
      <c r="B396" s="20" t="s">
        <v>467</v>
      </c>
      <c r="C396" s="20" t="s">
        <v>500</v>
      </c>
      <c r="D396" s="21">
        <v>46109</v>
      </c>
      <c r="E396" s="20">
        <v>1</v>
      </c>
      <c r="F396" s="20">
        <v>2026</v>
      </c>
      <c r="G396" s="23" t="s">
        <v>619</v>
      </c>
      <c r="H396" s="23" t="s">
        <v>383</v>
      </c>
      <c r="I396" s="20" t="s">
        <v>384</v>
      </c>
      <c r="J396" s="67" t="s">
        <v>385</v>
      </c>
    </row>
    <row r="397" spans="1:10" x14ac:dyDescent="0.3">
      <c r="A397" s="54" t="s">
        <v>512</v>
      </c>
      <c r="B397" s="20" t="s">
        <v>389</v>
      </c>
      <c r="C397" s="23" t="s">
        <v>501</v>
      </c>
      <c r="D397" s="21">
        <v>46141</v>
      </c>
      <c r="E397" s="20">
        <v>1</v>
      </c>
      <c r="F397" s="20">
        <v>2026</v>
      </c>
      <c r="G397" s="23" t="s">
        <v>619</v>
      </c>
      <c r="H397" s="23" t="s">
        <v>383</v>
      </c>
      <c r="I397" s="20" t="s">
        <v>384</v>
      </c>
      <c r="J397" s="67" t="s">
        <v>390</v>
      </c>
    </row>
    <row r="398" spans="1:10" x14ac:dyDescent="0.3">
      <c r="A398" s="54" t="s">
        <v>534</v>
      </c>
      <c r="B398" s="20" t="s">
        <v>412</v>
      </c>
      <c r="C398" s="23" t="s">
        <v>501</v>
      </c>
      <c r="D398" s="21">
        <v>46141</v>
      </c>
      <c r="E398" s="20">
        <v>1</v>
      </c>
      <c r="F398" s="20">
        <v>2026</v>
      </c>
      <c r="G398" s="23" t="s">
        <v>619</v>
      </c>
      <c r="H398" s="23" t="s">
        <v>383</v>
      </c>
      <c r="I398" s="20" t="s">
        <v>384</v>
      </c>
      <c r="J398" s="67" t="s">
        <v>387</v>
      </c>
    </row>
    <row r="399" spans="1:10" x14ac:dyDescent="0.3">
      <c r="A399" s="54" t="s">
        <v>541</v>
      </c>
      <c r="B399" s="20" t="s">
        <v>419</v>
      </c>
      <c r="C399" s="23" t="s">
        <v>501</v>
      </c>
      <c r="D399" s="21">
        <v>46141</v>
      </c>
      <c r="E399" s="20">
        <v>1</v>
      </c>
      <c r="F399" s="20">
        <v>2026</v>
      </c>
      <c r="G399" s="23" t="s">
        <v>619</v>
      </c>
      <c r="H399" s="23" t="s">
        <v>383</v>
      </c>
      <c r="I399" s="20" t="s">
        <v>384</v>
      </c>
      <c r="J399" s="67" t="s">
        <v>390</v>
      </c>
    </row>
    <row r="400" spans="1:10" x14ac:dyDescent="0.3">
      <c r="A400" s="54" t="s">
        <v>557</v>
      </c>
      <c r="B400" s="20" t="s">
        <v>435</v>
      </c>
      <c r="C400" s="23" t="s">
        <v>501</v>
      </c>
      <c r="D400" s="21">
        <v>46141</v>
      </c>
      <c r="E400" s="20">
        <v>1</v>
      </c>
      <c r="F400" s="20">
        <v>2026</v>
      </c>
      <c r="G400" s="23" t="s">
        <v>619</v>
      </c>
      <c r="H400" s="23" t="s">
        <v>383</v>
      </c>
      <c r="I400" s="20" t="s">
        <v>384</v>
      </c>
      <c r="J400" s="67" t="s">
        <v>385</v>
      </c>
    </row>
    <row r="401" spans="1:10" x14ac:dyDescent="0.3">
      <c r="A401" s="54" t="s">
        <v>550</v>
      </c>
      <c r="B401" s="20" t="s">
        <v>428</v>
      </c>
      <c r="C401" s="23" t="s">
        <v>501</v>
      </c>
      <c r="D401" s="21">
        <v>46141</v>
      </c>
      <c r="E401" s="20">
        <v>1</v>
      </c>
      <c r="F401" s="20">
        <v>2026</v>
      </c>
      <c r="G401" s="4" t="s">
        <v>621</v>
      </c>
      <c r="H401" s="23" t="s">
        <v>383</v>
      </c>
      <c r="I401" s="20" t="s">
        <v>384</v>
      </c>
      <c r="J401" s="67" t="s">
        <v>387</v>
      </c>
    </row>
    <row r="402" spans="1:10" x14ac:dyDescent="0.3">
      <c r="A402" s="54" t="s">
        <v>564</v>
      </c>
      <c r="B402" s="20" t="s">
        <v>442</v>
      </c>
      <c r="C402" s="23" t="s">
        <v>501</v>
      </c>
      <c r="D402" s="21">
        <v>46141</v>
      </c>
      <c r="E402" s="20">
        <v>1</v>
      </c>
      <c r="F402" s="20">
        <v>2026</v>
      </c>
      <c r="G402" s="30" t="s">
        <v>619</v>
      </c>
      <c r="H402" s="23" t="s">
        <v>383</v>
      </c>
      <c r="I402" s="20" t="s">
        <v>384</v>
      </c>
      <c r="J402" s="67" t="s">
        <v>385</v>
      </c>
    </row>
    <row r="403" spans="1:10" x14ac:dyDescent="0.3">
      <c r="A403" s="54" t="s">
        <v>511</v>
      </c>
      <c r="B403" s="20" t="s">
        <v>388</v>
      </c>
      <c r="C403" s="23" t="s">
        <v>501</v>
      </c>
      <c r="D403" s="21">
        <v>46141</v>
      </c>
      <c r="E403" s="20">
        <v>1</v>
      </c>
      <c r="F403" s="20">
        <v>2026</v>
      </c>
      <c r="G403" s="23" t="s">
        <v>619</v>
      </c>
      <c r="H403" s="23" t="s">
        <v>383</v>
      </c>
      <c r="I403" s="20" t="s">
        <v>384</v>
      </c>
      <c r="J403" s="67" t="s">
        <v>387</v>
      </c>
    </row>
    <row r="404" spans="1:10" x14ac:dyDescent="0.3">
      <c r="A404" s="54" t="s">
        <v>518</v>
      </c>
      <c r="B404" s="20" t="s">
        <v>396</v>
      </c>
      <c r="C404" s="23" t="s">
        <v>501</v>
      </c>
      <c r="D404" s="21">
        <v>46141</v>
      </c>
      <c r="E404" s="20">
        <v>1</v>
      </c>
      <c r="F404" s="20">
        <v>2026</v>
      </c>
      <c r="G404" s="23" t="s">
        <v>619</v>
      </c>
      <c r="H404" s="23" t="s">
        <v>383</v>
      </c>
      <c r="I404" s="20" t="s">
        <v>384</v>
      </c>
      <c r="J404" s="67" t="s">
        <v>387</v>
      </c>
    </row>
    <row r="405" spans="1:10" x14ac:dyDescent="0.3">
      <c r="A405" s="54" t="s">
        <v>584</v>
      </c>
      <c r="B405" s="20" t="s">
        <v>467</v>
      </c>
      <c r="C405" s="23" t="s">
        <v>501</v>
      </c>
      <c r="D405" s="21">
        <v>46141</v>
      </c>
      <c r="E405" s="20">
        <v>1</v>
      </c>
      <c r="F405" s="20">
        <v>2026</v>
      </c>
      <c r="G405" s="23" t="s">
        <v>619</v>
      </c>
      <c r="H405" s="23" t="s">
        <v>383</v>
      </c>
      <c r="I405" s="20" t="s">
        <v>384</v>
      </c>
      <c r="J405" s="67" t="s">
        <v>385</v>
      </c>
    </row>
    <row r="406" spans="1:10" x14ac:dyDescent="0.3">
      <c r="A406" s="54" t="s">
        <v>609</v>
      </c>
      <c r="B406" s="20" t="s">
        <v>494</v>
      </c>
      <c r="C406" s="23" t="s">
        <v>501</v>
      </c>
      <c r="D406" s="21">
        <v>46141</v>
      </c>
      <c r="E406" s="20">
        <v>1</v>
      </c>
      <c r="F406" s="20">
        <v>2026</v>
      </c>
      <c r="G406" s="23" t="s">
        <v>619</v>
      </c>
      <c r="H406" s="23" t="s">
        <v>383</v>
      </c>
      <c r="I406" s="20" t="s">
        <v>384</v>
      </c>
      <c r="J406" s="67" t="s">
        <v>385</v>
      </c>
    </row>
    <row r="407" spans="1:10" x14ac:dyDescent="0.3">
      <c r="A407" s="54" t="s">
        <v>511</v>
      </c>
      <c r="B407" s="20" t="s">
        <v>388</v>
      </c>
      <c r="C407" s="23" t="s">
        <v>502</v>
      </c>
      <c r="D407" s="21">
        <v>46155</v>
      </c>
      <c r="E407" s="20">
        <v>1</v>
      </c>
      <c r="F407" s="20">
        <v>2026</v>
      </c>
      <c r="G407" s="23" t="s">
        <v>619</v>
      </c>
      <c r="H407" s="23" t="s">
        <v>383</v>
      </c>
      <c r="I407" s="20" t="s">
        <v>384</v>
      </c>
      <c r="J407" s="67" t="s">
        <v>387</v>
      </c>
    </row>
    <row r="408" spans="1:10" x14ac:dyDescent="0.3">
      <c r="A408" s="54" t="s">
        <v>615</v>
      </c>
      <c r="B408" s="20" t="s">
        <v>503</v>
      </c>
      <c r="C408" s="23" t="s">
        <v>502</v>
      </c>
      <c r="D408" s="21">
        <v>46155</v>
      </c>
      <c r="E408" s="20">
        <v>1</v>
      </c>
      <c r="F408" s="20">
        <v>2026</v>
      </c>
      <c r="G408" s="23" t="s">
        <v>619</v>
      </c>
      <c r="H408" s="23" t="s">
        <v>383</v>
      </c>
      <c r="I408" s="20" t="s">
        <v>384</v>
      </c>
      <c r="J408" s="67" t="s">
        <v>385</v>
      </c>
    </row>
    <row r="409" spans="1:10" x14ac:dyDescent="0.3">
      <c r="A409" s="54" t="s">
        <v>564</v>
      </c>
      <c r="B409" s="20" t="s">
        <v>442</v>
      </c>
      <c r="C409" s="23" t="s">
        <v>502</v>
      </c>
      <c r="D409" s="21">
        <v>46155</v>
      </c>
      <c r="E409" s="20">
        <v>1</v>
      </c>
      <c r="F409" s="20">
        <v>2026</v>
      </c>
      <c r="G409" s="23" t="s">
        <v>619</v>
      </c>
      <c r="H409" s="23" t="s">
        <v>383</v>
      </c>
      <c r="I409" s="20" t="s">
        <v>384</v>
      </c>
      <c r="J409" s="67" t="s">
        <v>385</v>
      </c>
    </row>
    <row r="410" spans="1:10" x14ac:dyDescent="0.3">
      <c r="A410" s="54" t="s">
        <v>609</v>
      </c>
      <c r="B410" s="20" t="s">
        <v>494</v>
      </c>
      <c r="C410" s="23" t="s">
        <v>502</v>
      </c>
      <c r="D410" s="21">
        <v>46155</v>
      </c>
      <c r="E410" s="20">
        <v>1</v>
      </c>
      <c r="F410" s="20">
        <v>2026</v>
      </c>
      <c r="G410" s="23" t="s">
        <v>619</v>
      </c>
      <c r="H410" s="23" t="s">
        <v>383</v>
      </c>
      <c r="I410" s="20" t="s">
        <v>384</v>
      </c>
      <c r="J410" s="67" t="s">
        <v>385</v>
      </c>
    </row>
    <row r="411" spans="1:10" x14ac:dyDescent="0.3">
      <c r="A411" s="54" t="s">
        <v>616</v>
      </c>
      <c r="B411" s="20" t="s">
        <v>504</v>
      </c>
      <c r="C411" s="23" t="s">
        <v>502</v>
      </c>
      <c r="D411" s="21">
        <v>46155</v>
      </c>
      <c r="E411" s="20">
        <v>1</v>
      </c>
      <c r="F411" s="20">
        <v>2026</v>
      </c>
      <c r="G411" s="4" t="s">
        <v>621</v>
      </c>
      <c r="H411" s="23" t="s">
        <v>383</v>
      </c>
      <c r="I411" s="20" t="s">
        <v>384</v>
      </c>
      <c r="J411" s="67" t="s">
        <v>387</v>
      </c>
    </row>
    <row r="412" spans="1:10" x14ac:dyDescent="0.3">
      <c r="A412" s="54" t="s">
        <v>551</v>
      </c>
      <c r="B412" s="20" t="s">
        <v>429</v>
      </c>
      <c r="C412" s="23" t="s">
        <v>502</v>
      </c>
      <c r="D412" s="21">
        <v>46155</v>
      </c>
      <c r="E412" s="20">
        <v>1</v>
      </c>
      <c r="F412" s="20">
        <v>2026</v>
      </c>
      <c r="G412" s="4" t="s">
        <v>621</v>
      </c>
      <c r="H412" s="23" t="s">
        <v>383</v>
      </c>
      <c r="I412" s="20" t="s">
        <v>384</v>
      </c>
      <c r="J412" s="67" t="s">
        <v>387</v>
      </c>
    </row>
    <row r="413" spans="1:10" x14ac:dyDescent="0.3">
      <c r="A413" s="54" t="s">
        <v>511</v>
      </c>
      <c r="B413" s="20" t="s">
        <v>388</v>
      </c>
      <c r="C413" s="23" t="s">
        <v>505</v>
      </c>
      <c r="D413" s="21">
        <v>46155</v>
      </c>
      <c r="E413" s="20">
        <v>1</v>
      </c>
      <c r="F413" s="20">
        <v>2026</v>
      </c>
      <c r="G413" s="30" t="s">
        <v>619</v>
      </c>
      <c r="H413" s="23" t="s">
        <v>383</v>
      </c>
      <c r="I413" s="20" t="s">
        <v>384</v>
      </c>
      <c r="J413" s="67" t="s">
        <v>387</v>
      </c>
    </row>
    <row r="414" spans="1:10" x14ac:dyDescent="0.3">
      <c r="A414" s="54" t="s">
        <v>615</v>
      </c>
      <c r="B414" s="20" t="s">
        <v>503</v>
      </c>
      <c r="C414" s="23" t="s">
        <v>505</v>
      </c>
      <c r="D414" s="21">
        <v>46155</v>
      </c>
      <c r="E414" s="20">
        <v>1</v>
      </c>
      <c r="F414" s="20">
        <v>2026</v>
      </c>
      <c r="G414" s="23" t="s">
        <v>619</v>
      </c>
      <c r="H414" s="23" t="s">
        <v>383</v>
      </c>
      <c r="I414" s="20" t="s">
        <v>384</v>
      </c>
      <c r="J414" s="67" t="s">
        <v>385</v>
      </c>
    </row>
    <row r="415" spans="1:10" x14ac:dyDescent="0.3">
      <c r="A415" s="54" t="s">
        <v>564</v>
      </c>
      <c r="B415" s="20" t="s">
        <v>442</v>
      </c>
      <c r="C415" s="23" t="s">
        <v>505</v>
      </c>
      <c r="D415" s="21">
        <v>46155</v>
      </c>
      <c r="E415" s="20">
        <v>1</v>
      </c>
      <c r="F415" s="20">
        <v>2026</v>
      </c>
      <c r="G415" s="23" t="s">
        <v>619</v>
      </c>
      <c r="H415" s="23" t="s">
        <v>383</v>
      </c>
      <c r="I415" s="20" t="s">
        <v>384</v>
      </c>
      <c r="J415" s="67" t="s">
        <v>385</v>
      </c>
    </row>
    <row r="416" spans="1:10" x14ac:dyDescent="0.3">
      <c r="A416" s="54" t="s">
        <v>609</v>
      </c>
      <c r="B416" s="20" t="s">
        <v>494</v>
      </c>
      <c r="C416" s="23" t="s">
        <v>505</v>
      </c>
      <c r="D416" s="21">
        <v>46155</v>
      </c>
      <c r="E416" s="20">
        <v>1</v>
      </c>
      <c r="F416" s="20">
        <v>2026</v>
      </c>
      <c r="G416" s="23" t="s">
        <v>619</v>
      </c>
      <c r="H416" s="23" t="s">
        <v>383</v>
      </c>
      <c r="I416" s="20" t="s">
        <v>384</v>
      </c>
      <c r="J416" s="67" t="s">
        <v>385</v>
      </c>
    </row>
    <row r="417" spans="1:10" x14ac:dyDescent="0.3">
      <c r="A417" s="54" t="s">
        <v>557</v>
      </c>
      <c r="B417" s="20" t="s">
        <v>435</v>
      </c>
      <c r="C417" s="23" t="s">
        <v>506</v>
      </c>
      <c r="D417" s="21">
        <v>46155</v>
      </c>
      <c r="E417" s="20">
        <v>1</v>
      </c>
      <c r="F417" s="20">
        <v>2026</v>
      </c>
      <c r="G417" s="23" t="s">
        <v>619</v>
      </c>
      <c r="H417" s="23" t="s">
        <v>383</v>
      </c>
      <c r="I417" s="20" t="s">
        <v>384</v>
      </c>
      <c r="J417" s="67" t="s">
        <v>385</v>
      </c>
    </row>
    <row r="418" spans="1:10" x14ac:dyDescent="0.3">
      <c r="A418" s="54" t="s">
        <v>615</v>
      </c>
      <c r="B418" s="20" t="s">
        <v>503</v>
      </c>
      <c r="C418" s="23" t="s">
        <v>506</v>
      </c>
      <c r="D418" s="21">
        <v>46155</v>
      </c>
      <c r="E418" s="20">
        <v>1</v>
      </c>
      <c r="F418" s="20">
        <v>2026</v>
      </c>
      <c r="G418" s="23" t="s">
        <v>619</v>
      </c>
      <c r="H418" s="23" t="s">
        <v>383</v>
      </c>
      <c r="I418" s="20" t="s">
        <v>384</v>
      </c>
      <c r="J418" s="67" t="s">
        <v>385</v>
      </c>
    </row>
    <row r="419" spans="1:10" x14ac:dyDescent="0.3">
      <c r="A419" s="54" t="s">
        <v>558</v>
      </c>
      <c r="B419" s="20" t="s">
        <v>436</v>
      </c>
      <c r="C419" s="23" t="s">
        <v>505</v>
      </c>
      <c r="D419" s="21">
        <v>46156</v>
      </c>
      <c r="E419" s="20">
        <v>1</v>
      </c>
      <c r="F419" s="20">
        <v>2026</v>
      </c>
      <c r="G419" s="23" t="s">
        <v>619</v>
      </c>
      <c r="H419" s="23" t="s">
        <v>383</v>
      </c>
      <c r="I419" s="20" t="s">
        <v>384</v>
      </c>
      <c r="J419" s="67" t="s">
        <v>385</v>
      </c>
    </row>
    <row r="420" spans="1:10" x14ac:dyDescent="0.3">
      <c r="A420" s="54" t="s">
        <v>512</v>
      </c>
      <c r="B420" s="20" t="s">
        <v>389</v>
      </c>
      <c r="C420" s="23" t="s">
        <v>505</v>
      </c>
      <c r="D420" s="21">
        <v>46156</v>
      </c>
      <c r="E420" s="20">
        <v>1</v>
      </c>
      <c r="F420" s="20">
        <v>2026</v>
      </c>
      <c r="G420" s="23" t="s">
        <v>619</v>
      </c>
      <c r="H420" s="23" t="s">
        <v>383</v>
      </c>
      <c r="I420" s="20" t="s">
        <v>384</v>
      </c>
      <c r="J420" s="67" t="s">
        <v>390</v>
      </c>
    </row>
    <row r="421" spans="1:10" x14ac:dyDescent="0.3">
      <c r="A421" s="54" t="s">
        <v>557</v>
      </c>
      <c r="B421" s="20" t="s">
        <v>435</v>
      </c>
      <c r="C421" s="23" t="s">
        <v>502</v>
      </c>
      <c r="D421" s="21">
        <v>46156</v>
      </c>
      <c r="E421" s="20">
        <v>1</v>
      </c>
      <c r="F421" s="20">
        <v>2026</v>
      </c>
      <c r="G421" s="23" t="s">
        <v>619</v>
      </c>
      <c r="H421" s="23" t="s">
        <v>383</v>
      </c>
      <c r="I421" s="20" t="s">
        <v>384</v>
      </c>
      <c r="J421" s="67" t="s">
        <v>385</v>
      </c>
    </row>
    <row r="422" spans="1:10" x14ac:dyDescent="0.3">
      <c r="A422" s="54" t="s">
        <v>512</v>
      </c>
      <c r="B422" s="20" t="s">
        <v>389</v>
      </c>
      <c r="C422" s="23" t="s">
        <v>502</v>
      </c>
      <c r="D422" s="21">
        <v>46156</v>
      </c>
      <c r="E422" s="20">
        <v>1</v>
      </c>
      <c r="F422" s="20">
        <v>2026</v>
      </c>
      <c r="G422" s="23" t="s">
        <v>619</v>
      </c>
      <c r="H422" s="23" t="s">
        <v>383</v>
      </c>
      <c r="I422" s="20" t="s">
        <v>384</v>
      </c>
      <c r="J422" s="67" t="s">
        <v>390</v>
      </c>
    </row>
    <row r="423" spans="1:10" x14ac:dyDescent="0.3">
      <c r="A423" s="54" t="s">
        <v>534</v>
      </c>
      <c r="B423" s="20" t="s">
        <v>412</v>
      </c>
      <c r="C423" s="23" t="s">
        <v>502</v>
      </c>
      <c r="D423" s="21">
        <v>46159</v>
      </c>
      <c r="E423" s="20">
        <v>1</v>
      </c>
      <c r="F423" s="20">
        <v>2026</v>
      </c>
      <c r="G423" s="23" t="s">
        <v>619</v>
      </c>
      <c r="H423" s="23" t="s">
        <v>383</v>
      </c>
      <c r="I423" s="20" t="s">
        <v>384</v>
      </c>
      <c r="J423" s="67" t="s">
        <v>387</v>
      </c>
    </row>
    <row r="424" spans="1:10" x14ac:dyDescent="0.3">
      <c r="A424" s="54" t="s">
        <v>552</v>
      </c>
      <c r="B424" s="20" t="s">
        <v>430</v>
      </c>
      <c r="C424" s="23" t="s">
        <v>505</v>
      </c>
      <c r="D424" s="21">
        <v>46158</v>
      </c>
      <c r="E424" s="20">
        <v>1</v>
      </c>
      <c r="F424" s="20">
        <v>2026</v>
      </c>
      <c r="G424" s="4" t="s">
        <v>621</v>
      </c>
      <c r="H424" s="23" t="s">
        <v>383</v>
      </c>
      <c r="I424" s="20" t="s">
        <v>384</v>
      </c>
      <c r="J424" s="67" t="s">
        <v>387</v>
      </c>
    </row>
    <row r="425" spans="1:10" x14ac:dyDescent="0.3">
      <c r="A425" s="54" t="s">
        <v>534</v>
      </c>
      <c r="B425" s="20" t="s">
        <v>412</v>
      </c>
      <c r="C425" s="23" t="s">
        <v>506</v>
      </c>
      <c r="D425" s="21">
        <v>46159</v>
      </c>
      <c r="E425" s="20">
        <v>1</v>
      </c>
      <c r="F425" s="20">
        <v>2026</v>
      </c>
      <c r="G425" s="30" t="s">
        <v>619</v>
      </c>
      <c r="H425" s="23" t="s">
        <v>383</v>
      </c>
      <c r="I425" s="20" t="s">
        <v>384</v>
      </c>
      <c r="J425" s="67" t="s">
        <v>387</v>
      </c>
    </row>
    <row r="426" spans="1:10" x14ac:dyDescent="0.3">
      <c r="A426" s="54" t="s">
        <v>542</v>
      </c>
      <c r="B426" s="20" t="s">
        <v>420</v>
      </c>
      <c r="C426" s="23" t="s">
        <v>506</v>
      </c>
      <c r="D426" s="21">
        <v>46162</v>
      </c>
      <c r="E426" s="20">
        <v>1</v>
      </c>
      <c r="F426" s="20">
        <v>2026</v>
      </c>
      <c r="G426" s="23" t="s">
        <v>619</v>
      </c>
      <c r="H426" s="23" t="s">
        <v>383</v>
      </c>
      <c r="I426" s="20" t="s">
        <v>384</v>
      </c>
      <c r="J426" s="67" t="s">
        <v>390</v>
      </c>
    </row>
    <row r="427" spans="1:10" x14ac:dyDescent="0.3">
      <c r="A427" s="54" t="s">
        <v>517</v>
      </c>
      <c r="B427" s="20" t="s">
        <v>395</v>
      </c>
      <c r="C427" s="23" t="s">
        <v>506</v>
      </c>
      <c r="D427" s="21">
        <v>46162</v>
      </c>
      <c r="E427" s="20">
        <v>1</v>
      </c>
      <c r="F427" s="20">
        <v>2026</v>
      </c>
      <c r="G427" s="4" t="s">
        <v>621</v>
      </c>
      <c r="H427" s="23" t="s">
        <v>383</v>
      </c>
      <c r="I427" s="20" t="s">
        <v>384</v>
      </c>
      <c r="J427" s="67" t="s">
        <v>385</v>
      </c>
    </row>
    <row r="428" spans="1:10" x14ac:dyDescent="0.3">
      <c r="A428" s="54" t="s">
        <v>561</v>
      </c>
      <c r="B428" s="20" t="s">
        <v>439</v>
      </c>
      <c r="C428" s="23" t="s">
        <v>506</v>
      </c>
      <c r="D428" s="21">
        <v>46162</v>
      </c>
      <c r="E428" s="20">
        <v>1</v>
      </c>
      <c r="F428" s="20">
        <v>2026</v>
      </c>
      <c r="G428" s="4" t="s">
        <v>621</v>
      </c>
      <c r="H428" s="23" t="s">
        <v>383</v>
      </c>
      <c r="I428" s="20" t="s">
        <v>384</v>
      </c>
      <c r="J428" s="67" t="s">
        <v>385</v>
      </c>
    </row>
    <row r="429" spans="1:10" x14ac:dyDescent="0.3">
      <c r="A429" s="54" t="s">
        <v>617</v>
      </c>
      <c r="B429" s="20" t="s">
        <v>507</v>
      </c>
      <c r="C429" s="23" t="s">
        <v>506</v>
      </c>
      <c r="D429" s="21">
        <v>46162</v>
      </c>
      <c r="E429" s="20">
        <v>1</v>
      </c>
      <c r="F429" s="20">
        <v>2026</v>
      </c>
      <c r="G429" s="4" t="s">
        <v>621</v>
      </c>
      <c r="H429" s="23" t="s">
        <v>383</v>
      </c>
      <c r="I429" s="20" t="s">
        <v>384</v>
      </c>
      <c r="J429" s="67" t="s">
        <v>387</v>
      </c>
    </row>
    <row r="430" spans="1:10" x14ac:dyDescent="0.3">
      <c r="A430" s="54" t="s">
        <v>511</v>
      </c>
      <c r="B430" s="20" t="s">
        <v>388</v>
      </c>
      <c r="C430" s="23" t="s">
        <v>506</v>
      </c>
      <c r="D430" s="21">
        <v>46163</v>
      </c>
      <c r="E430" s="20">
        <v>1</v>
      </c>
      <c r="F430" s="20">
        <v>2026</v>
      </c>
      <c r="G430" s="30" t="s">
        <v>619</v>
      </c>
      <c r="H430" s="23" t="s">
        <v>383</v>
      </c>
      <c r="I430" s="20" t="s">
        <v>384</v>
      </c>
      <c r="J430" s="67" t="s">
        <v>387</v>
      </c>
    </row>
    <row r="431" spans="1:10" x14ac:dyDescent="0.3">
      <c r="A431" s="54" t="s">
        <v>540</v>
      </c>
      <c r="B431" s="20" t="s">
        <v>418</v>
      </c>
      <c r="C431" s="23" t="s">
        <v>506</v>
      </c>
      <c r="D431" s="21">
        <v>46163</v>
      </c>
      <c r="E431" s="20">
        <v>1</v>
      </c>
      <c r="F431" s="20">
        <v>2026</v>
      </c>
      <c r="G431" s="4" t="s">
        <v>621</v>
      </c>
      <c r="H431" s="23" t="s">
        <v>383</v>
      </c>
      <c r="I431" s="20" t="s">
        <v>384</v>
      </c>
      <c r="J431" s="67" t="s">
        <v>387</v>
      </c>
    </row>
    <row r="432" spans="1:10" x14ac:dyDescent="0.3">
      <c r="A432" s="54" t="s">
        <v>514</v>
      </c>
      <c r="B432" s="20" t="s">
        <v>392</v>
      </c>
      <c r="C432" s="23" t="s">
        <v>506</v>
      </c>
      <c r="D432" s="21">
        <v>46161</v>
      </c>
      <c r="E432" s="20">
        <v>1</v>
      </c>
      <c r="F432" s="20">
        <v>2026</v>
      </c>
      <c r="G432" s="4" t="s">
        <v>621</v>
      </c>
      <c r="H432" s="23" t="s">
        <v>383</v>
      </c>
      <c r="I432" s="20" t="s">
        <v>384</v>
      </c>
      <c r="J432" s="67" t="s">
        <v>387</v>
      </c>
    </row>
    <row r="433" spans="1:10" x14ac:dyDescent="0.3">
      <c r="A433" s="54" t="s">
        <v>564</v>
      </c>
      <c r="B433" s="20" t="s">
        <v>442</v>
      </c>
      <c r="C433" s="23" t="s">
        <v>506</v>
      </c>
      <c r="D433" s="21">
        <v>46165</v>
      </c>
      <c r="E433" s="20">
        <v>1</v>
      </c>
      <c r="F433" s="20">
        <v>2026</v>
      </c>
      <c r="G433" s="30" t="s">
        <v>619</v>
      </c>
      <c r="H433" s="23" t="s">
        <v>383</v>
      </c>
      <c r="I433" s="20" t="s">
        <v>384</v>
      </c>
      <c r="J433" s="67" t="s">
        <v>385</v>
      </c>
    </row>
    <row r="434" spans="1:10" x14ac:dyDescent="0.3">
      <c r="A434" s="54" t="s">
        <v>609</v>
      </c>
      <c r="B434" s="20" t="s">
        <v>494</v>
      </c>
      <c r="C434" s="23" t="s">
        <v>506</v>
      </c>
      <c r="D434" s="21">
        <v>46165</v>
      </c>
      <c r="E434" s="20">
        <v>1</v>
      </c>
      <c r="F434" s="20">
        <v>2026</v>
      </c>
      <c r="G434" s="23" t="s">
        <v>619</v>
      </c>
      <c r="H434" s="23" t="s">
        <v>383</v>
      </c>
      <c r="I434" s="20" t="s">
        <v>384</v>
      </c>
      <c r="J434" s="67" t="s">
        <v>385</v>
      </c>
    </row>
    <row r="435" spans="1:10" x14ac:dyDescent="0.3">
      <c r="A435" s="54" t="s">
        <v>618</v>
      </c>
      <c r="B435" s="20" t="s">
        <v>508</v>
      </c>
      <c r="C435" s="23" t="s">
        <v>506</v>
      </c>
      <c r="D435" s="21">
        <v>46167</v>
      </c>
      <c r="E435" s="20">
        <v>1</v>
      </c>
      <c r="F435" s="20">
        <v>2026</v>
      </c>
      <c r="G435" s="4" t="s">
        <v>621</v>
      </c>
      <c r="H435" s="23" t="s">
        <v>383</v>
      </c>
      <c r="I435" s="20" t="s">
        <v>384</v>
      </c>
      <c r="J435" s="67" t="s">
        <v>390</v>
      </c>
    </row>
    <row r="436" spans="1:10" x14ac:dyDescent="0.3">
      <c r="A436" s="38" t="s">
        <v>530</v>
      </c>
      <c r="B436" s="72" t="s">
        <v>408</v>
      </c>
      <c r="C436" s="73" t="s">
        <v>506</v>
      </c>
      <c r="D436" s="74">
        <v>46167</v>
      </c>
      <c r="E436" s="72">
        <v>1</v>
      </c>
      <c r="F436" s="72">
        <v>2026</v>
      </c>
      <c r="G436" s="75" t="s">
        <v>621</v>
      </c>
      <c r="H436" s="72" t="s">
        <v>383</v>
      </c>
      <c r="I436" s="72" t="s">
        <v>384</v>
      </c>
      <c r="J436" s="76" t="s">
        <v>390</v>
      </c>
    </row>
  </sheetData>
  <mergeCells count="1">
    <mergeCell ref="L2:U18"/>
  </mergeCells>
  <phoneticPr fontId="23"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8B82-9496-4050-BF2C-5431C6E37A88}">
  <dimension ref="A1:K550"/>
  <sheetViews>
    <sheetView tabSelected="1" workbookViewId="0">
      <selection activeCell="I11" sqref="I11"/>
    </sheetView>
  </sheetViews>
  <sheetFormatPr defaultRowHeight="14.4" x14ac:dyDescent="0.3"/>
  <cols>
    <col min="1" max="1" width="26.109375" bestFit="1" customWidth="1"/>
    <col min="2" max="2" width="35.5546875" bestFit="1" customWidth="1"/>
    <col min="3" max="3" width="16.33203125" bestFit="1" customWidth="1"/>
    <col min="4" max="4" width="11.33203125" bestFit="1" customWidth="1"/>
    <col min="5" max="5" width="8.6640625" customWidth="1"/>
    <col min="6" max="6" width="25.44140625" customWidth="1"/>
    <col min="7" max="7" width="18.109375" customWidth="1"/>
    <col min="8" max="8" width="26.21875" customWidth="1"/>
    <col min="9" max="9" width="10.6640625" customWidth="1"/>
    <col min="10" max="10" width="11.21875" customWidth="1"/>
    <col min="11" max="16" width="10.21875" bestFit="1" customWidth="1"/>
    <col min="17" max="17" width="10.77734375" bestFit="1" customWidth="1"/>
    <col min="18" max="18" width="12.33203125" bestFit="1" customWidth="1"/>
  </cols>
  <sheetData>
    <row r="1" spans="1:8" ht="15.6" x14ac:dyDescent="0.3">
      <c r="A1" s="77" t="s">
        <v>380</v>
      </c>
      <c r="B1" s="77" t="s">
        <v>373</v>
      </c>
      <c r="C1" s="77" t="s">
        <v>374</v>
      </c>
      <c r="D1" s="77" t="s">
        <v>622</v>
      </c>
    </row>
    <row r="2" spans="1:8" ht="15.6" x14ac:dyDescent="0.3">
      <c r="A2" s="6" t="s">
        <v>387</v>
      </c>
      <c r="B2" s="6" t="s">
        <v>454</v>
      </c>
      <c r="C2" s="6" t="s">
        <v>445</v>
      </c>
      <c r="D2" s="88">
        <v>1</v>
      </c>
    </row>
    <row r="3" spans="1:8" ht="15.6" x14ac:dyDescent="0.3">
      <c r="A3" s="6" t="s">
        <v>387</v>
      </c>
      <c r="B3" s="78" t="s">
        <v>698</v>
      </c>
      <c r="C3" s="78"/>
      <c r="D3" s="89">
        <v>1</v>
      </c>
    </row>
    <row r="4" spans="1:8" ht="15.6" x14ac:dyDescent="0.3">
      <c r="A4" s="6" t="s">
        <v>387</v>
      </c>
      <c r="B4" s="6" t="s">
        <v>496</v>
      </c>
      <c r="C4" s="6" t="s">
        <v>463</v>
      </c>
      <c r="D4" s="88">
        <v>1</v>
      </c>
    </row>
    <row r="5" spans="1:8" ht="15.6" x14ac:dyDescent="0.3">
      <c r="A5" s="6" t="s">
        <v>387</v>
      </c>
      <c r="B5" s="78" t="s">
        <v>686</v>
      </c>
      <c r="C5" s="78"/>
      <c r="D5" s="89">
        <v>1</v>
      </c>
    </row>
    <row r="6" spans="1:8" ht="15.6" x14ac:dyDescent="0.3">
      <c r="A6" s="6" t="s">
        <v>387</v>
      </c>
      <c r="B6" s="6" t="s">
        <v>497</v>
      </c>
      <c r="C6" s="6" t="s">
        <v>479</v>
      </c>
      <c r="D6" s="88">
        <v>1</v>
      </c>
    </row>
    <row r="7" spans="1:8" ht="15.6" x14ac:dyDescent="0.3">
      <c r="A7" s="6" t="s">
        <v>387</v>
      </c>
      <c r="B7" s="6" t="s">
        <v>497</v>
      </c>
      <c r="C7" s="6" t="s">
        <v>445</v>
      </c>
      <c r="D7" s="88">
        <v>1</v>
      </c>
    </row>
    <row r="8" spans="1:8" ht="15.6" x14ac:dyDescent="0.3">
      <c r="A8" s="6" t="s">
        <v>387</v>
      </c>
      <c r="B8" s="78" t="s">
        <v>717</v>
      </c>
      <c r="C8" s="78"/>
      <c r="D8" s="89">
        <v>2</v>
      </c>
    </row>
    <row r="9" spans="1:8" ht="15.6" x14ac:dyDescent="0.3">
      <c r="A9" s="6" t="s">
        <v>387</v>
      </c>
      <c r="B9" s="6" t="s">
        <v>404</v>
      </c>
      <c r="C9" s="6" t="s">
        <v>479</v>
      </c>
      <c r="D9" s="88">
        <v>1</v>
      </c>
    </row>
    <row r="10" spans="1:8" ht="15.6" x14ac:dyDescent="0.3">
      <c r="A10" s="6" t="s">
        <v>387</v>
      </c>
      <c r="B10" s="6" t="s">
        <v>404</v>
      </c>
      <c r="C10" s="6" t="s">
        <v>382</v>
      </c>
      <c r="D10" s="88">
        <v>1</v>
      </c>
    </row>
    <row r="11" spans="1:8" ht="15.6" x14ac:dyDescent="0.3">
      <c r="A11" s="6" t="s">
        <v>387</v>
      </c>
      <c r="B11" s="6" t="s">
        <v>404</v>
      </c>
      <c r="C11" s="6" t="s">
        <v>445</v>
      </c>
      <c r="D11" s="88">
        <v>1</v>
      </c>
    </row>
    <row r="12" spans="1:8" ht="15.6" x14ac:dyDescent="0.3">
      <c r="A12" s="6" t="s">
        <v>387</v>
      </c>
      <c r="B12" s="6" t="s">
        <v>404</v>
      </c>
      <c r="C12" s="6" t="s">
        <v>463</v>
      </c>
      <c r="D12" s="88">
        <v>1</v>
      </c>
    </row>
    <row r="13" spans="1:8" ht="15.6" x14ac:dyDescent="0.3">
      <c r="A13" s="6" t="s">
        <v>387</v>
      </c>
      <c r="B13" s="78" t="s">
        <v>690</v>
      </c>
      <c r="C13" s="78"/>
      <c r="D13" s="89">
        <v>4</v>
      </c>
    </row>
    <row r="14" spans="1:8" ht="15.6" x14ac:dyDescent="0.3">
      <c r="A14" s="6" t="s">
        <v>387</v>
      </c>
      <c r="B14" s="6" t="s">
        <v>495</v>
      </c>
      <c r="C14" s="6" t="s">
        <v>382</v>
      </c>
      <c r="D14" s="88">
        <v>1</v>
      </c>
    </row>
    <row r="15" spans="1:8" ht="18" x14ac:dyDescent="0.35">
      <c r="A15" s="6" t="s">
        <v>387</v>
      </c>
      <c r="B15" s="78" t="s">
        <v>697</v>
      </c>
      <c r="C15" s="78"/>
      <c r="D15" s="89">
        <v>1</v>
      </c>
      <c r="G15" s="148" t="s">
        <v>737</v>
      </c>
      <c r="H15" s="149"/>
    </row>
    <row r="16" spans="1:8" ht="18" x14ac:dyDescent="0.3">
      <c r="A16" s="6" t="s">
        <v>387</v>
      </c>
      <c r="B16" s="6" t="s">
        <v>401</v>
      </c>
      <c r="C16" s="6" t="s">
        <v>479</v>
      </c>
      <c r="D16" s="88">
        <v>1</v>
      </c>
      <c r="G16" s="150" t="s">
        <v>738</v>
      </c>
      <c r="H16" s="150"/>
    </row>
    <row r="17" spans="1:11" ht="18" x14ac:dyDescent="0.3">
      <c r="A17" s="6" t="s">
        <v>387</v>
      </c>
      <c r="B17" s="6" t="s">
        <v>401</v>
      </c>
      <c r="C17" s="6" t="s">
        <v>382</v>
      </c>
      <c r="D17" s="88">
        <v>1</v>
      </c>
      <c r="G17" s="150" t="s">
        <v>735</v>
      </c>
      <c r="H17" s="150"/>
    </row>
    <row r="18" spans="1:11" ht="18" x14ac:dyDescent="0.3">
      <c r="A18" s="6" t="s">
        <v>387</v>
      </c>
      <c r="B18" s="6" t="s">
        <v>401</v>
      </c>
      <c r="C18" s="6" t="s">
        <v>445</v>
      </c>
      <c r="D18" s="88">
        <v>1</v>
      </c>
      <c r="G18" s="150" t="s">
        <v>736</v>
      </c>
      <c r="H18" s="150"/>
    </row>
    <row r="19" spans="1:11" ht="15.6" x14ac:dyDescent="0.3">
      <c r="A19" s="6" t="s">
        <v>387</v>
      </c>
      <c r="B19" s="6" t="s">
        <v>401</v>
      </c>
      <c r="C19" s="6" t="s">
        <v>463</v>
      </c>
      <c r="D19" s="88">
        <v>1</v>
      </c>
    </row>
    <row r="20" spans="1:11" ht="15.6" x14ac:dyDescent="0.3">
      <c r="A20" s="6" t="s">
        <v>387</v>
      </c>
      <c r="B20" s="78" t="s">
        <v>693</v>
      </c>
      <c r="C20" s="78"/>
      <c r="D20" s="89">
        <v>4</v>
      </c>
    </row>
    <row r="21" spans="1:11" ht="15.6" x14ac:dyDescent="0.3">
      <c r="A21" s="6" t="s">
        <v>387</v>
      </c>
      <c r="B21" s="6" t="s">
        <v>427</v>
      </c>
      <c r="C21" s="6" t="s">
        <v>479</v>
      </c>
      <c r="D21" s="88">
        <v>1</v>
      </c>
    </row>
    <row r="22" spans="1:11" ht="15.6" x14ac:dyDescent="0.3">
      <c r="A22" s="6" t="s">
        <v>387</v>
      </c>
      <c r="B22" s="6" t="s">
        <v>427</v>
      </c>
      <c r="C22" s="6" t="s">
        <v>382</v>
      </c>
      <c r="D22" s="88">
        <v>1</v>
      </c>
      <c r="F22" s="151" t="s">
        <v>741</v>
      </c>
      <c r="G22" s="151"/>
      <c r="H22" s="151"/>
      <c r="I22" s="151"/>
      <c r="J22" s="151"/>
      <c r="K22" s="151"/>
    </row>
    <row r="23" spans="1:11" ht="15.6" x14ac:dyDescent="0.3">
      <c r="A23" s="6" t="s">
        <v>387</v>
      </c>
      <c r="B23" s="6" t="s">
        <v>427</v>
      </c>
      <c r="C23" s="6" t="s">
        <v>445</v>
      </c>
      <c r="D23" s="88">
        <v>1</v>
      </c>
      <c r="F23" s="151"/>
      <c r="G23" s="151"/>
      <c r="H23" s="151"/>
      <c r="I23" s="151"/>
      <c r="J23" s="151"/>
      <c r="K23" s="151"/>
    </row>
    <row r="24" spans="1:11" ht="15.6" x14ac:dyDescent="0.3">
      <c r="A24" s="6" t="s">
        <v>387</v>
      </c>
      <c r="B24" s="6" t="s">
        <v>427</v>
      </c>
      <c r="C24" s="6" t="s">
        <v>463</v>
      </c>
      <c r="D24" s="88">
        <v>1</v>
      </c>
      <c r="F24" s="151"/>
      <c r="G24" s="151"/>
      <c r="H24" s="151"/>
      <c r="I24" s="151"/>
      <c r="J24" s="151"/>
      <c r="K24" s="151"/>
    </row>
    <row r="25" spans="1:11" ht="15.6" x14ac:dyDescent="0.3">
      <c r="A25" s="6" t="s">
        <v>387</v>
      </c>
      <c r="B25" s="78" t="s">
        <v>687</v>
      </c>
      <c r="C25" s="78"/>
      <c r="D25" s="89">
        <v>4</v>
      </c>
      <c r="F25" s="151"/>
      <c r="G25" s="151"/>
      <c r="H25" s="151"/>
      <c r="I25" s="151"/>
      <c r="J25" s="151"/>
      <c r="K25" s="151"/>
    </row>
    <row r="26" spans="1:11" ht="15.6" x14ac:dyDescent="0.3">
      <c r="A26" s="6" t="s">
        <v>387</v>
      </c>
      <c r="B26" s="6" t="s">
        <v>487</v>
      </c>
      <c r="C26" s="6" t="s">
        <v>463</v>
      </c>
      <c r="D26" s="88">
        <v>1</v>
      </c>
      <c r="F26" s="151"/>
      <c r="G26" s="151"/>
      <c r="H26" s="151"/>
      <c r="I26" s="151"/>
      <c r="J26" s="151"/>
      <c r="K26" s="151"/>
    </row>
    <row r="27" spans="1:11" ht="15.6" x14ac:dyDescent="0.3">
      <c r="A27" s="6" t="s">
        <v>387</v>
      </c>
      <c r="B27" s="78" t="s">
        <v>713</v>
      </c>
      <c r="C27" s="78"/>
      <c r="D27" s="89">
        <v>1</v>
      </c>
      <c r="F27" s="151"/>
      <c r="G27" s="151"/>
      <c r="H27" s="151"/>
      <c r="I27" s="151"/>
      <c r="J27" s="151"/>
      <c r="K27" s="151"/>
    </row>
    <row r="28" spans="1:11" ht="15.6" x14ac:dyDescent="0.3">
      <c r="A28" s="6" t="s">
        <v>387</v>
      </c>
      <c r="B28" s="6" t="s">
        <v>412</v>
      </c>
      <c r="C28" s="6" t="s">
        <v>506</v>
      </c>
      <c r="D28" s="88">
        <v>1</v>
      </c>
    </row>
    <row r="29" spans="1:11" ht="15.6" x14ac:dyDescent="0.3">
      <c r="A29" s="6" t="s">
        <v>387</v>
      </c>
      <c r="B29" s="6" t="s">
        <v>412</v>
      </c>
      <c r="C29" s="6" t="s">
        <v>464</v>
      </c>
      <c r="D29" s="88">
        <v>1</v>
      </c>
    </row>
    <row r="30" spans="1:11" ht="15.6" x14ac:dyDescent="0.3">
      <c r="A30" s="6" t="s">
        <v>387</v>
      </c>
      <c r="B30" s="6" t="s">
        <v>412</v>
      </c>
      <c r="C30" s="6" t="s">
        <v>445</v>
      </c>
      <c r="D30" s="88">
        <v>1</v>
      </c>
    </row>
    <row r="31" spans="1:11" ht="15.6" x14ac:dyDescent="0.3">
      <c r="A31" s="6" t="s">
        <v>387</v>
      </c>
      <c r="B31" s="6" t="s">
        <v>412</v>
      </c>
      <c r="C31" s="6" t="s">
        <v>463</v>
      </c>
      <c r="D31" s="88">
        <v>1</v>
      </c>
    </row>
    <row r="32" spans="1:11" ht="15.6" x14ac:dyDescent="0.3">
      <c r="A32" s="6" t="s">
        <v>387</v>
      </c>
      <c r="B32" s="6" t="s">
        <v>412</v>
      </c>
      <c r="C32" s="6" t="s">
        <v>502</v>
      </c>
      <c r="D32" s="88">
        <v>1</v>
      </c>
    </row>
    <row r="33" spans="1:4" ht="15.6" x14ac:dyDescent="0.3">
      <c r="A33" s="6" t="s">
        <v>387</v>
      </c>
      <c r="B33" s="6" t="s">
        <v>412</v>
      </c>
      <c r="C33" s="6" t="s">
        <v>382</v>
      </c>
      <c r="D33" s="88">
        <v>1</v>
      </c>
    </row>
    <row r="34" spans="1:4" ht="15.6" x14ac:dyDescent="0.3">
      <c r="A34" s="6" t="s">
        <v>387</v>
      </c>
      <c r="B34" s="6" t="s">
        <v>412</v>
      </c>
      <c r="C34" s="6" t="s">
        <v>501</v>
      </c>
      <c r="D34" s="88">
        <v>1</v>
      </c>
    </row>
    <row r="35" spans="1:4" ht="15.6" x14ac:dyDescent="0.3">
      <c r="A35" s="6" t="s">
        <v>387</v>
      </c>
      <c r="B35" s="6" t="s">
        <v>412</v>
      </c>
      <c r="C35" s="6" t="s">
        <v>479</v>
      </c>
      <c r="D35" s="88">
        <v>1</v>
      </c>
    </row>
    <row r="36" spans="1:4" ht="15.6" x14ac:dyDescent="0.3">
      <c r="A36" s="6" t="s">
        <v>387</v>
      </c>
      <c r="B36" s="6" t="s">
        <v>412</v>
      </c>
      <c r="C36" s="6" t="s">
        <v>460</v>
      </c>
      <c r="D36" s="88">
        <v>1</v>
      </c>
    </row>
    <row r="37" spans="1:4" ht="15.6" x14ac:dyDescent="0.3">
      <c r="A37" s="6" t="s">
        <v>387</v>
      </c>
      <c r="B37" s="78" t="s">
        <v>688</v>
      </c>
      <c r="C37" s="78"/>
      <c r="D37" s="89">
        <v>9</v>
      </c>
    </row>
    <row r="38" spans="1:4" ht="15.6" x14ac:dyDescent="0.3">
      <c r="A38" s="6" t="s">
        <v>387</v>
      </c>
      <c r="B38" s="6" t="s">
        <v>492</v>
      </c>
      <c r="C38" s="6" t="s">
        <v>479</v>
      </c>
      <c r="D38" s="88">
        <v>1</v>
      </c>
    </row>
    <row r="39" spans="1:4" ht="15.6" x14ac:dyDescent="0.3">
      <c r="A39" s="6" t="s">
        <v>387</v>
      </c>
      <c r="B39" s="78" t="s">
        <v>730</v>
      </c>
      <c r="C39" s="78"/>
      <c r="D39" s="89">
        <v>1</v>
      </c>
    </row>
    <row r="40" spans="1:4" ht="15.6" x14ac:dyDescent="0.3">
      <c r="A40" s="6" t="s">
        <v>387</v>
      </c>
      <c r="B40" s="6" t="s">
        <v>392</v>
      </c>
      <c r="C40" s="6" t="s">
        <v>479</v>
      </c>
      <c r="D40" s="88">
        <v>1</v>
      </c>
    </row>
    <row r="41" spans="1:4" ht="15.6" x14ac:dyDescent="0.3">
      <c r="A41" s="6" t="s">
        <v>387</v>
      </c>
      <c r="B41" s="6" t="s">
        <v>392</v>
      </c>
      <c r="C41" s="6" t="s">
        <v>506</v>
      </c>
      <c r="D41" s="88">
        <v>1</v>
      </c>
    </row>
    <row r="42" spans="1:4" ht="15.6" x14ac:dyDescent="0.3">
      <c r="A42" s="6" t="s">
        <v>387</v>
      </c>
      <c r="B42" s="6" t="s">
        <v>392</v>
      </c>
      <c r="C42" s="6" t="s">
        <v>464</v>
      </c>
      <c r="D42" s="88">
        <v>1</v>
      </c>
    </row>
    <row r="43" spans="1:4" ht="15.6" x14ac:dyDescent="0.3">
      <c r="A43" s="6" t="s">
        <v>387</v>
      </c>
      <c r="B43" s="6" t="s">
        <v>392</v>
      </c>
      <c r="C43" s="6" t="s">
        <v>463</v>
      </c>
      <c r="D43" s="88">
        <v>1</v>
      </c>
    </row>
    <row r="44" spans="1:4" ht="15.6" x14ac:dyDescent="0.3">
      <c r="A44" s="6" t="s">
        <v>387</v>
      </c>
      <c r="B44" s="6" t="s">
        <v>392</v>
      </c>
      <c r="C44" s="6" t="s">
        <v>445</v>
      </c>
      <c r="D44" s="88">
        <v>1</v>
      </c>
    </row>
    <row r="45" spans="1:4" ht="15.6" x14ac:dyDescent="0.3">
      <c r="A45" s="6" t="s">
        <v>387</v>
      </c>
      <c r="B45" s="6" t="s">
        <v>392</v>
      </c>
      <c r="C45" s="6" t="s">
        <v>382</v>
      </c>
      <c r="D45" s="88">
        <v>1</v>
      </c>
    </row>
    <row r="46" spans="1:4" ht="15.6" x14ac:dyDescent="0.3">
      <c r="A46" s="6" t="s">
        <v>387</v>
      </c>
      <c r="B46" s="78" t="s">
        <v>708</v>
      </c>
      <c r="C46" s="78"/>
      <c r="D46" s="89">
        <v>6</v>
      </c>
    </row>
    <row r="47" spans="1:4" ht="15.6" x14ac:dyDescent="0.3">
      <c r="A47" s="6" t="s">
        <v>387</v>
      </c>
      <c r="B47" s="6" t="s">
        <v>468</v>
      </c>
      <c r="C47" s="6" t="s">
        <v>445</v>
      </c>
      <c r="D47" s="88">
        <v>1</v>
      </c>
    </row>
    <row r="48" spans="1:4" ht="15.6" x14ac:dyDescent="0.3">
      <c r="A48" s="6" t="s">
        <v>387</v>
      </c>
      <c r="B48" s="6" t="s">
        <v>468</v>
      </c>
      <c r="C48" s="6" t="s">
        <v>479</v>
      </c>
      <c r="D48" s="88">
        <v>1</v>
      </c>
    </row>
    <row r="49" spans="1:4" ht="15.6" x14ac:dyDescent="0.3">
      <c r="A49" s="6" t="s">
        <v>387</v>
      </c>
      <c r="B49" s="6" t="s">
        <v>468</v>
      </c>
      <c r="C49" s="6" t="s">
        <v>463</v>
      </c>
      <c r="D49" s="88">
        <v>1</v>
      </c>
    </row>
    <row r="50" spans="1:4" ht="15.6" x14ac:dyDescent="0.3">
      <c r="A50" s="6" t="s">
        <v>387</v>
      </c>
      <c r="B50" s="78" t="s">
        <v>707</v>
      </c>
      <c r="C50" s="78"/>
      <c r="D50" s="89">
        <v>3</v>
      </c>
    </row>
    <row r="51" spans="1:4" ht="15.6" x14ac:dyDescent="0.3">
      <c r="A51" s="6" t="s">
        <v>387</v>
      </c>
      <c r="B51" s="6" t="s">
        <v>391</v>
      </c>
      <c r="C51" s="6" t="s">
        <v>463</v>
      </c>
      <c r="D51" s="88">
        <v>1</v>
      </c>
    </row>
    <row r="52" spans="1:4" ht="15.6" x14ac:dyDescent="0.3">
      <c r="A52" s="6" t="s">
        <v>387</v>
      </c>
      <c r="B52" s="6" t="s">
        <v>391</v>
      </c>
      <c r="C52" s="6" t="s">
        <v>479</v>
      </c>
      <c r="D52" s="88">
        <v>1</v>
      </c>
    </row>
    <row r="53" spans="1:4" ht="15.6" x14ac:dyDescent="0.3">
      <c r="A53" s="6" t="s">
        <v>387</v>
      </c>
      <c r="B53" s="6" t="s">
        <v>391</v>
      </c>
      <c r="C53" s="6" t="s">
        <v>382</v>
      </c>
      <c r="D53" s="88">
        <v>1</v>
      </c>
    </row>
    <row r="54" spans="1:4" ht="15.6" x14ac:dyDescent="0.3">
      <c r="A54" s="6" t="s">
        <v>387</v>
      </c>
      <c r="B54" s="78" t="s">
        <v>694</v>
      </c>
      <c r="C54" s="78"/>
      <c r="D54" s="89">
        <v>3</v>
      </c>
    </row>
    <row r="55" spans="1:4" ht="15.6" x14ac:dyDescent="0.3">
      <c r="A55" s="6" t="s">
        <v>387</v>
      </c>
      <c r="B55" s="6" t="s">
        <v>417</v>
      </c>
      <c r="C55" s="6" t="s">
        <v>479</v>
      </c>
      <c r="D55" s="88">
        <v>1</v>
      </c>
    </row>
    <row r="56" spans="1:4" ht="15.6" x14ac:dyDescent="0.3">
      <c r="A56" s="6" t="s">
        <v>387</v>
      </c>
      <c r="B56" s="6" t="s">
        <v>417</v>
      </c>
      <c r="C56" s="6" t="s">
        <v>382</v>
      </c>
      <c r="D56" s="88">
        <v>1</v>
      </c>
    </row>
    <row r="57" spans="1:4" ht="15.6" x14ac:dyDescent="0.3">
      <c r="A57" s="6" t="s">
        <v>387</v>
      </c>
      <c r="B57" s="6" t="s">
        <v>417</v>
      </c>
      <c r="C57" s="6" t="s">
        <v>445</v>
      </c>
      <c r="D57" s="88">
        <v>1</v>
      </c>
    </row>
    <row r="58" spans="1:4" ht="15.6" x14ac:dyDescent="0.3">
      <c r="A58" s="6" t="s">
        <v>387</v>
      </c>
      <c r="B58" s="6" t="s">
        <v>417</v>
      </c>
      <c r="C58" s="6" t="s">
        <v>463</v>
      </c>
      <c r="D58" s="88">
        <v>1</v>
      </c>
    </row>
    <row r="59" spans="1:4" ht="15.6" x14ac:dyDescent="0.3">
      <c r="A59" s="6" t="s">
        <v>387</v>
      </c>
      <c r="B59" s="78" t="s">
        <v>700</v>
      </c>
      <c r="C59" s="78"/>
      <c r="D59" s="89">
        <v>4</v>
      </c>
    </row>
    <row r="60" spans="1:4" ht="15.6" x14ac:dyDescent="0.3">
      <c r="A60" s="6" t="s">
        <v>387</v>
      </c>
      <c r="B60" s="6" t="s">
        <v>485</v>
      </c>
      <c r="C60" s="6" t="s">
        <v>479</v>
      </c>
      <c r="D60" s="88">
        <v>1</v>
      </c>
    </row>
    <row r="61" spans="1:4" ht="15.6" x14ac:dyDescent="0.3">
      <c r="A61" s="6" t="s">
        <v>387</v>
      </c>
      <c r="B61" s="6" t="s">
        <v>485</v>
      </c>
      <c r="C61" s="6" t="s">
        <v>463</v>
      </c>
      <c r="D61" s="88">
        <v>1</v>
      </c>
    </row>
    <row r="62" spans="1:4" ht="15.6" x14ac:dyDescent="0.3">
      <c r="A62" s="6" t="s">
        <v>387</v>
      </c>
      <c r="B62" s="78" t="s">
        <v>699</v>
      </c>
      <c r="C62" s="78"/>
      <c r="D62" s="89">
        <v>2</v>
      </c>
    </row>
    <row r="63" spans="1:4" ht="15.6" x14ac:dyDescent="0.3">
      <c r="A63" s="6" t="s">
        <v>387</v>
      </c>
      <c r="B63" s="6" t="s">
        <v>414</v>
      </c>
      <c r="C63" s="6" t="s">
        <v>479</v>
      </c>
      <c r="D63" s="88">
        <v>1</v>
      </c>
    </row>
    <row r="64" spans="1:4" ht="15.6" x14ac:dyDescent="0.3">
      <c r="A64" s="6" t="s">
        <v>387</v>
      </c>
      <c r="B64" s="6" t="s">
        <v>414</v>
      </c>
      <c r="C64" s="6" t="s">
        <v>382</v>
      </c>
      <c r="D64" s="88">
        <v>1</v>
      </c>
    </row>
    <row r="65" spans="1:4" ht="15.6" x14ac:dyDescent="0.3">
      <c r="A65" s="6" t="s">
        <v>387</v>
      </c>
      <c r="B65" s="6" t="s">
        <v>414</v>
      </c>
      <c r="C65" s="6" t="s">
        <v>445</v>
      </c>
      <c r="D65" s="88">
        <v>1</v>
      </c>
    </row>
    <row r="66" spans="1:4" ht="15.6" x14ac:dyDescent="0.3">
      <c r="A66" s="6" t="s">
        <v>387</v>
      </c>
      <c r="B66" s="6" t="s">
        <v>414</v>
      </c>
      <c r="C66" s="6" t="s">
        <v>463</v>
      </c>
      <c r="D66" s="88">
        <v>1</v>
      </c>
    </row>
    <row r="67" spans="1:4" ht="15.6" x14ac:dyDescent="0.3">
      <c r="A67" s="6" t="s">
        <v>387</v>
      </c>
      <c r="B67" s="78" t="s">
        <v>703</v>
      </c>
      <c r="C67" s="78"/>
      <c r="D67" s="89">
        <v>4</v>
      </c>
    </row>
    <row r="68" spans="1:4" ht="15.6" x14ac:dyDescent="0.3">
      <c r="A68" s="6" t="s">
        <v>387</v>
      </c>
      <c r="B68" s="6" t="s">
        <v>413</v>
      </c>
      <c r="C68" s="6" t="s">
        <v>463</v>
      </c>
      <c r="D68" s="88">
        <v>1</v>
      </c>
    </row>
    <row r="69" spans="1:4" ht="15.6" x14ac:dyDescent="0.3">
      <c r="A69" s="6" t="s">
        <v>387</v>
      </c>
      <c r="B69" s="6" t="s">
        <v>413</v>
      </c>
      <c r="C69" s="6" t="s">
        <v>479</v>
      </c>
      <c r="D69" s="88">
        <v>1</v>
      </c>
    </row>
    <row r="70" spans="1:4" ht="15.6" x14ac:dyDescent="0.3">
      <c r="A70" s="6" t="s">
        <v>387</v>
      </c>
      <c r="B70" s="6" t="s">
        <v>413</v>
      </c>
      <c r="C70" s="6" t="s">
        <v>382</v>
      </c>
      <c r="D70" s="88">
        <v>1</v>
      </c>
    </row>
    <row r="71" spans="1:4" ht="15.6" x14ac:dyDescent="0.3">
      <c r="A71" s="6" t="s">
        <v>387</v>
      </c>
      <c r="B71" s="78" t="s">
        <v>701</v>
      </c>
      <c r="C71" s="78"/>
      <c r="D71" s="89">
        <v>3</v>
      </c>
    </row>
    <row r="72" spans="1:4" ht="15.6" x14ac:dyDescent="0.3">
      <c r="A72" s="6" t="s">
        <v>387</v>
      </c>
      <c r="B72" s="6" t="s">
        <v>466</v>
      </c>
      <c r="C72" s="6" t="s">
        <v>445</v>
      </c>
      <c r="D72" s="88">
        <v>1</v>
      </c>
    </row>
    <row r="73" spans="1:4" ht="15.6" x14ac:dyDescent="0.3">
      <c r="A73" s="6" t="s">
        <v>387</v>
      </c>
      <c r="B73" s="78" t="s">
        <v>731</v>
      </c>
      <c r="C73" s="78"/>
      <c r="D73" s="89">
        <v>1</v>
      </c>
    </row>
    <row r="74" spans="1:4" ht="15.6" x14ac:dyDescent="0.3">
      <c r="A74" s="6" t="s">
        <v>387</v>
      </c>
      <c r="B74" s="6" t="s">
        <v>431</v>
      </c>
      <c r="C74" s="6" t="s">
        <v>479</v>
      </c>
      <c r="D74" s="88">
        <v>1</v>
      </c>
    </row>
    <row r="75" spans="1:4" ht="15.6" x14ac:dyDescent="0.3">
      <c r="A75" s="6" t="s">
        <v>387</v>
      </c>
      <c r="B75" s="6" t="s">
        <v>431</v>
      </c>
      <c r="C75" s="6" t="s">
        <v>465</v>
      </c>
      <c r="D75" s="88">
        <v>1</v>
      </c>
    </row>
    <row r="76" spans="1:4" ht="15.6" x14ac:dyDescent="0.3">
      <c r="A76" s="6" t="s">
        <v>387</v>
      </c>
      <c r="B76" s="6" t="s">
        <v>431</v>
      </c>
      <c r="C76" s="6" t="s">
        <v>464</v>
      </c>
      <c r="D76" s="88">
        <v>1</v>
      </c>
    </row>
    <row r="77" spans="1:4" ht="15.6" x14ac:dyDescent="0.3">
      <c r="A77" s="6" t="s">
        <v>387</v>
      </c>
      <c r="B77" s="6" t="s">
        <v>431</v>
      </c>
      <c r="C77" s="6" t="s">
        <v>463</v>
      </c>
      <c r="D77" s="88">
        <v>1</v>
      </c>
    </row>
    <row r="78" spans="1:4" ht="15.6" x14ac:dyDescent="0.3">
      <c r="A78" s="6" t="s">
        <v>387</v>
      </c>
      <c r="B78" s="6" t="s">
        <v>431</v>
      </c>
      <c r="C78" s="6" t="s">
        <v>445</v>
      </c>
      <c r="D78" s="88">
        <v>1</v>
      </c>
    </row>
    <row r="79" spans="1:4" ht="15.6" x14ac:dyDescent="0.3">
      <c r="A79" s="6" t="s">
        <v>387</v>
      </c>
      <c r="B79" s="6" t="s">
        <v>431</v>
      </c>
      <c r="C79" s="6" t="s">
        <v>382</v>
      </c>
      <c r="D79" s="88">
        <v>1</v>
      </c>
    </row>
    <row r="80" spans="1:4" ht="15.6" x14ac:dyDescent="0.3">
      <c r="A80" s="6" t="s">
        <v>387</v>
      </c>
      <c r="B80" s="78" t="s">
        <v>706</v>
      </c>
      <c r="C80" s="78"/>
      <c r="D80" s="89">
        <v>6</v>
      </c>
    </row>
    <row r="81" spans="1:4" ht="15.6" x14ac:dyDescent="0.3">
      <c r="A81" s="6" t="s">
        <v>387</v>
      </c>
      <c r="B81" s="6" t="s">
        <v>430</v>
      </c>
      <c r="C81" s="6" t="s">
        <v>445</v>
      </c>
      <c r="D81" s="88">
        <v>1</v>
      </c>
    </row>
    <row r="82" spans="1:4" ht="15.6" x14ac:dyDescent="0.3">
      <c r="A82" s="6" t="s">
        <v>387</v>
      </c>
      <c r="B82" s="6" t="s">
        <v>430</v>
      </c>
      <c r="C82" s="6" t="s">
        <v>465</v>
      </c>
      <c r="D82" s="88">
        <v>1</v>
      </c>
    </row>
    <row r="83" spans="1:4" ht="15.6" x14ac:dyDescent="0.3">
      <c r="A83" s="6" t="s">
        <v>387</v>
      </c>
      <c r="B83" s="6" t="s">
        <v>430</v>
      </c>
      <c r="C83" s="6" t="s">
        <v>460</v>
      </c>
      <c r="D83" s="88">
        <v>1</v>
      </c>
    </row>
    <row r="84" spans="1:4" ht="15.6" x14ac:dyDescent="0.3">
      <c r="A84" s="6" t="s">
        <v>387</v>
      </c>
      <c r="B84" s="6" t="s">
        <v>430</v>
      </c>
      <c r="C84" s="6" t="s">
        <v>463</v>
      </c>
      <c r="D84" s="88">
        <v>1</v>
      </c>
    </row>
    <row r="85" spans="1:4" ht="15.6" x14ac:dyDescent="0.3">
      <c r="A85" s="6" t="s">
        <v>387</v>
      </c>
      <c r="B85" s="6" t="s">
        <v>430</v>
      </c>
      <c r="C85" s="6" t="s">
        <v>505</v>
      </c>
      <c r="D85" s="88">
        <v>1</v>
      </c>
    </row>
    <row r="86" spans="1:4" ht="15.6" x14ac:dyDescent="0.3">
      <c r="A86" s="6" t="s">
        <v>387</v>
      </c>
      <c r="B86" s="6" t="s">
        <v>430</v>
      </c>
      <c r="C86" s="6" t="s">
        <v>382</v>
      </c>
      <c r="D86" s="88">
        <v>1</v>
      </c>
    </row>
    <row r="87" spans="1:4" ht="15.6" x14ac:dyDescent="0.3">
      <c r="A87" s="6" t="s">
        <v>387</v>
      </c>
      <c r="B87" s="6" t="s">
        <v>430</v>
      </c>
      <c r="C87" s="6" t="s">
        <v>479</v>
      </c>
      <c r="D87" s="88">
        <v>1</v>
      </c>
    </row>
    <row r="88" spans="1:4" ht="15.6" x14ac:dyDescent="0.3">
      <c r="A88" s="6" t="s">
        <v>387</v>
      </c>
      <c r="B88" s="78" t="s">
        <v>704</v>
      </c>
      <c r="C88" s="78"/>
      <c r="D88" s="89">
        <v>7</v>
      </c>
    </row>
    <row r="89" spans="1:4" ht="15.6" x14ac:dyDescent="0.3">
      <c r="A89" s="6" t="s">
        <v>387</v>
      </c>
      <c r="B89" s="6" t="s">
        <v>398</v>
      </c>
      <c r="C89" s="6" t="s">
        <v>479</v>
      </c>
      <c r="D89" s="88">
        <v>1</v>
      </c>
    </row>
    <row r="90" spans="1:4" ht="15.6" x14ac:dyDescent="0.3">
      <c r="A90" s="6" t="s">
        <v>387</v>
      </c>
      <c r="B90" s="6" t="s">
        <v>398</v>
      </c>
      <c r="C90" s="6" t="s">
        <v>445</v>
      </c>
      <c r="D90" s="88">
        <v>1</v>
      </c>
    </row>
    <row r="91" spans="1:4" ht="15.6" x14ac:dyDescent="0.3">
      <c r="A91" s="6" t="s">
        <v>387</v>
      </c>
      <c r="B91" s="6" t="s">
        <v>398</v>
      </c>
      <c r="C91" s="6" t="s">
        <v>464</v>
      </c>
      <c r="D91" s="88">
        <v>1</v>
      </c>
    </row>
    <row r="92" spans="1:4" ht="15.6" x14ac:dyDescent="0.3">
      <c r="A92" s="6" t="s">
        <v>387</v>
      </c>
      <c r="B92" s="6" t="s">
        <v>398</v>
      </c>
      <c r="C92" s="6" t="s">
        <v>463</v>
      </c>
      <c r="D92" s="88">
        <v>1</v>
      </c>
    </row>
    <row r="93" spans="1:4" ht="15.6" x14ac:dyDescent="0.3">
      <c r="A93" s="6" t="s">
        <v>387</v>
      </c>
      <c r="B93" s="6" t="s">
        <v>398</v>
      </c>
      <c r="C93" s="6" t="s">
        <v>382</v>
      </c>
      <c r="D93" s="88">
        <v>1</v>
      </c>
    </row>
    <row r="94" spans="1:4" ht="15.6" x14ac:dyDescent="0.3">
      <c r="A94" s="6" t="s">
        <v>387</v>
      </c>
      <c r="B94" s="78" t="s">
        <v>726</v>
      </c>
      <c r="C94" s="78"/>
      <c r="D94" s="89">
        <v>5</v>
      </c>
    </row>
    <row r="95" spans="1:4" ht="15.6" x14ac:dyDescent="0.3">
      <c r="A95" s="6" t="s">
        <v>387</v>
      </c>
      <c r="B95" s="6" t="s">
        <v>418</v>
      </c>
      <c r="C95" s="6" t="s">
        <v>506</v>
      </c>
      <c r="D95" s="88">
        <v>1</v>
      </c>
    </row>
    <row r="96" spans="1:4" ht="15.6" x14ac:dyDescent="0.3">
      <c r="A96" s="6" t="s">
        <v>387</v>
      </c>
      <c r="B96" s="6" t="s">
        <v>418</v>
      </c>
      <c r="C96" s="6" t="s">
        <v>464</v>
      </c>
      <c r="D96" s="88">
        <v>1</v>
      </c>
    </row>
    <row r="97" spans="1:4" ht="15.6" x14ac:dyDescent="0.3">
      <c r="A97" s="6" t="s">
        <v>387</v>
      </c>
      <c r="B97" s="6" t="s">
        <v>418</v>
      </c>
      <c r="C97" s="6" t="s">
        <v>460</v>
      </c>
      <c r="D97" s="88">
        <v>1</v>
      </c>
    </row>
    <row r="98" spans="1:4" ht="15.6" x14ac:dyDescent="0.3">
      <c r="A98" s="6" t="s">
        <v>387</v>
      </c>
      <c r="B98" s="6" t="s">
        <v>418</v>
      </c>
      <c r="C98" s="6" t="s">
        <v>463</v>
      </c>
      <c r="D98" s="88">
        <v>1</v>
      </c>
    </row>
    <row r="99" spans="1:4" ht="15.6" x14ac:dyDescent="0.3">
      <c r="A99" s="6" t="s">
        <v>387</v>
      </c>
      <c r="B99" s="6" t="s">
        <v>418</v>
      </c>
      <c r="C99" s="6" t="s">
        <v>465</v>
      </c>
      <c r="D99" s="88">
        <v>1</v>
      </c>
    </row>
    <row r="100" spans="1:4" ht="15.6" x14ac:dyDescent="0.3">
      <c r="A100" s="6" t="s">
        <v>387</v>
      </c>
      <c r="B100" s="6" t="s">
        <v>418</v>
      </c>
      <c r="C100" s="6" t="s">
        <v>382</v>
      </c>
      <c r="D100" s="88">
        <v>1</v>
      </c>
    </row>
    <row r="101" spans="1:4" ht="15.6" x14ac:dyDescent="0.3">
      <c r="A101" s="6" t="s">
        <v>387</v>
      </c>
      <c r="B101" s="6" t="s">
        <v>418</v>
      </c>
      <c r="C101" s="6" t="s">
        <v>445</v>
      </c>
      <c r="D101" s="88">
        <v>1</v>
      </c>
    </row>
    <row r="102" spans="1:4" ht="15.6" x14ac:dyDescent="0.3">
      <c r="A102" s="6" t="s">
        <v>387</v>
      </c>
      <c r="B102" s="6" t="s">
        <v>418</v>
      </c>
      <c r="C102" s="6" t="s">
        <v>479</v>
      </c>
      <c r="D102" s="88">
        <v>1</v>
      </c>
    </row>
    <row r="103" spans="1:4" ht="15.6" x14ac:dyDescent="0.3">
      <c r="A103" s="6" t="s">
        <v>387</v>
      </c>
      <c r="B103" s="78" t="s">
        <v>684</v>
      </c>
      <c r="C103" s="78"/>
      <c r="D103" s="89">
        <v>8</v>
      </c>
    </row>
    <row r="104" spans="1:4" ht="15.6" x14ac:dyDescent="0.3">
      <c r="A104" s="6" t="s">
        <v>387</v>
      </c>
      <c r="B104" s="6" t="s">
        <v>395</v>
      </c>
      <c r="C104" s="6" t="s">
        <v>479</v>
      </c>
      <c r="D104" s="88">
        <v>1</v>
      </c>
    </row>
    <row r="105" spans="1:4" ht="15.6" x14ac:dyDescent="0.3">
      <c r="A105" s="6" t="s">
        <v>387</v>
      </c>
      <c r="B105" s="6" t="s">
        <v>395</v>
      </c>
      <c r="C105" s="6" t="s">
        <v>382</v>
      </c>
      <c r="D105" s="88">
        <v>1</v>
      </c>
    </row>
    <row r="106" spans="1:4" ht="15.6" x14ac:dyDescent="0.3">
      <c r="A106" s="6" t="s">
        <v>387</v>
      </c>
      <c r="B106" s="6" t="s">
        <v>395</v>
      </c>
      <c r="C106" s="6" t="s">
        <v>445</v>
      </c>
      <c r="D106" s="88">
        <v>1</v>
      </c>
    </row>
    <row r="107" spans="1:4" ht="15.6" x14ac:dyDescent="0.3">
      <c r="A107" s="6" t="s">
        <v>387</v>
      </c>
      <c r="B107" s="6" t="s">
        <v>395</v>
      </c>
      <c r="C107" s="6" t="s">
        <v>463</v>
      </c>
      <c r="D107" s="88">
        <v>1</v>
      </c>
    </row>
    <row r="108" spans="1:4" ht="15.6" x14ac:dyDescent="0.3">
      <c r="A108" s="6" t="s">
        <v>387</v>
      </c>
      <c r="B108" s="78" t="s">
        <v>669</v>
      </c>
      <c r="C108" s="78"/>
      <c r="D108" s="89">
        <v>4</v>
      </c>
    </row>
    <row r="109" spans="1:4" ht="15.6" x14ac:dyDescent="0.3">
      <c r="A109" s="6" t="s">
        <v>387</v>
      </c>
      <c r="B109" s="6" t="s">
        <v>489</v>
      </c>
      <c r="C109" s="6" t="s">
        <v>479</v>
      </c>
      <c r="D109" s="88">
        <v>1</v>
      </c>
    </row>
    <row r="110" spans="1:4" ht="15.6" x14ac:dyDescent="0.3">
      <c r="A110" s="6" t="s">
        <v>387</v>
      </c>
      <c r="B110" s="6" t="s">
        <v>489</v>
      </c>
      <c r="C110" s="6" t="s">
        <v>463</v>
      </c>
      <c r="D110" s="88">
        <v>1</v>
      </c>
    </row>
    <row r="111" spans="1:4" ht="15.6" x14ac:dyDescent="0.3">
      <c r="A111" s="6" t="s">
        <v>387</v>
      </c>
      <c r="B111" s="78" t="s">
        <v>725</v>
      </c>
      <c r="C111" s="78"/>
      <c r="D111" s="89">
        <v>2</v>
      </c>
    </row>
    <row r="112" spans="1:4" ht="15.6" x14ac:dyDescent="0.3">
      <c r="A112" s="6" t="s">
        <v>387</v>
      </c>
      <c r="B112" s="6" t="s">
        <v>449</v>
      </c>
      <c r="C112" s="6" t="s">
        <v>445</v>
      </c>
      <c r="D112" s="88">
        <v>1</v>
      </c>
    </row>
    <row r="113" spans="1:4" ht="15.6" x14ac:dyDescent="0.3">
      <c r="A113" s="6" t="s">
        <v>387</v>
      </c>
      <c r="B113" s="6" t="s">
        <v>449</v>
      </c>
      <c r="C113" s="6" t="s">
        <v>479</v>
      </c>
      <c r="D113" s="88">
        <v>1</v>
      </c>
    </row>
    <row r="114" spans="1:4" ht="15.6" x14ac:dyDescent="0.3">
      <c r="A114" s="6" t="s">
        <v>387</v>
      </c>
      <c r="B114" s="6" t="s">
        <v>449</v>
      </c>
      <c r="C114" s="6" t="s">
        <v>463</v>
      </c>
      <c r="D114" s="88">
        <v>1</v>
      </c>
    </row>
    <row r="115" spans="1:4" ht="15.6" x14ac:dyDescent="0.3">
      <c r="A115" s="6" t="s">
        <v>387</v>
      </c>
      <c r="B115" s="78" t="s">
        <v>702</v>
      </c>
      <c r="C115" s="78"/>
      <c r="D115" s="89">
        <v>3</v>
      </c>
    </row>
    <row r="116" spans="1:4" ht="15.6" x14ac:dyDescent="0.3">
      <c r="A116" s="6" t="s">
        <v>387</v>
      </c>
      <c r="B116" s="6" t="s">
        <v>399</v>
      </c>
      <c r="C116" s="6" t="s">
        <v>479</v>
      </c>
      <c r="D116" s="88">
        <v>1</v>
      </c>
    </row>
    <row r="117" spans="1:4" ht="15.6" x14ac:dyDescent="0.3">
      <c r="A117" s="6" t="s">
        <v>387</v>
      </c>
      <c r="B117" s="6" t="s">
        <v>399</v>
      </c>
      <c r="C117" s="6" t="s">
        <v>465</v>
      </c>
      <c r="D117" s="88">
        <v>1</v>
      </c>
    </row>
    <row r="118" spans="1:4" ht="15.6" x14ac:dyDescent="0.3">
      <c r="A118" s="6" t="s">
        <v>387</v>
      </c>
      <c r="B118" s="6" t="s">
        <v>399</v>
      </c>
      <c r="C118" s="6" t="s">
        <v>460</v>
      </c>
      <c r="D118" s="88">
        <v>1</v>
      </c>
    </row>
    <row r="119" spans="1:4" ht="15.6" x14ac:dyDescent="0.3">
      <c r="A119" s="6" t="s">
        <v>387</v>
      </c>
      <c r="B119" s="6" t="s">
        <v>399</v>
      </c>
      <c r="C119" s="6" t="s">
        <v>463</v>
      </c>
      <c r="D119" s="88">
        <v>1</v>
      </c>
    </row>
    <row r="120" spans="1:4" ht="15.6" x14ac:dyDescent="0.3">
      <c r="A120" s="6" t="s">
        <v>387</v>
      </c>
      <c r="B120" s="6" t="s">
        <v>399</v>
      </c>
      <c r="C120" s="6" t="s">
        <v>445</v>
      </c>
      <c r="D120" s="88">
        <v>1</v>
      </c>
    </row>
    <row r="121" spans="1:4" ht="15.6" x14ac:dyDescent="0.3">
      <c r="A121" s="6" t="s">
        <v>387</v>
      </c>
      <c r="B121" s="6" t="s">
        <v>399</v>
      </c>
      <c r="C121" s="6" t="s">
        <v>382</v>
      </c>
      <c r="D121" s="88">
        <v>1</v>
      </c>
    </row>
    <row r="122" spans="1:4" ht="15.6" x14ac:dyDescent="0.3">
      <c r="A122" s="6" t="s">
        <v>387</v>
      </c>
      <c r="B122" s="78" t="s">
        <v>724</v>
      </c>
      <c r="C122" s="78"/>
      <c r="D122" s="89">
        <v>6</v>
      </c>
    </row>
    <row r="123" spans="1:4" ht="15.6" x14ac:dyDescent="0.3">
      <c r="A123" s="6" t="s">
        <v>387</v>
      </c>
      <c r="B123" s="6" t="s">
        <v>400</v>
      </c>
      <c r="C123" s="6" t="s">
        <v>479</v>
      </c>
      <c r="D123" s="88">
        <v>1</v>
      </c>
    </row>
    <row r="124" spans="1:4" ht="15.6" x14ac:dyDescent="0.3">
      <c r="A124" s="6" t="s">
        <v>387</v>
      </c>
      <c r="B124" s="6" t="s">
        <v>400</v>
      </c>
      <c r="C124" s="6" t="s">
        <v>445</v>
      </c>
      <c r="D124" s="88">
        <v>1</v>
      </c>
    </row>
    <row r="125" spans="1:4" ht="15.6" x14ac:dyDescent="0.3">
      <c r="A125" s="6" t="s">
        <v>387</v>
      </c>
      <c r="B125" s="6" t="s">
        <v>400</v>
      </c>
      <c r="C125" s="6" t="s">
        <v>464</v>
      </c>
      <c r="D125" s="88">
        <v>1</v>
      </c>
    </row>
    <row r="126" spans="1:4" ht="15.6" x14ac:dyDescent="0.3">
      <c r="A126" s="6" t="s">
        <v>387</v>
      </c>
      <c r="B126" s="6" t="s">
        <v>400</v>
      </c>
      <c r="C126" s="6" t="s">
        <v>463</v>
      </c>
      <c r="D126" s="88">
        <v>1</v>
      </c>
    </row>
    <row r="127" spans="1:4" ht="15.6" x14ac:dyDescent="0.3">
      <c r="A127" s="6" t="s">
        <v>387</v>
      </c>
      <c r="B127" s="6" t="s">
        <v>400</v>
      </c>
      <c r="C127" s="6" t="s">
        <v>382</v>
      </c>
      <c r="D127" s="88">
        <v>1</v>
      </c>
    </row>
    <row r="128" spans="1:4" ht="15.6" x14ac:dyDescent="0.3">
      <c r="A128" s="6" t="s">
        <v>387</v>
      </c>
      <c r="B128" s="78" t="s">
        <v>689</v>
      </c>
      <c r="C128" s="78"/>
      <c r="D128" s="89">
        <v>5</v>
      </c>
    </row>
    <row r="129" spans="1:4" ht="15.6" x14ac:dyDescent="0.3">
      <c r="A129" s="6" t="s">
        <v>387</v>
      </c>
      <c r="B129" s="6" t="s">
        <v>393</v>
      </c>
      <c r="C129" s="6" t="s">
        <v>479</v>
      </c>
      <c r="D129" s="88">
        <v>1</v>
      </c>
    </row>
    <row r="130" spans="1:4" ht="15.6" x14ac:dyDescent="0.3">
      <c r="A130" s="6" t="s">
        <v>387</v>
      </c>
      <c r="B130" s="6" t="s">
        <v>393</v>
      </c>
      <c r="C130" s="6" t="s">
        <v>465</v>
      </c>
      <c r="D130" s="88">
        <v>1</v>
      </c>
    </row>
    <row r="131" spans="1:4" ht="15.6" x14ac:dyDescent="0.3">
      <c r="A131" s="6" t="s">
        <v>387</v>
      </c>
      <c r="B131" s="6" t="s">
        <v>393</v>
      </c>
      <c r="C131" s="6" t="s">
        <v>464</v>
      </c>
      <c r="D131" s="88">
        <v>1</v>
      </c>
    </row>
    <row r="132" spans="1:4" ht="15.6" x14ac:dyDescent="0.3">
      <c r="A132" s="6" t="s">
        <v>387</v>
      </c>
      <c r="B132" s="6" t="s">
        <v>393</v>
      </c>
      <c r="C132" s="6" t="s">
        <v>463</v>
      </c>
      <c r="D132" s="88">
        <v>1</v>
      </c>
    </row>
    <row r="133" spans="1:4" ht="15.6" x14ac:dyDescent="0.3">
      <c r="A133" s="6" t="s">
        <v>387</v>
      </c>
      <c r="B133" s="6" t="s">
        <v>393</v>
      </c>
      <c r="C133" s="6" t="s">
        <v>445</v>
      </c>
      <c r="D133" s="88">
        <v>1</v>
      </c>
    </row>
    <row r="134" spans="1:4" ht="15.6" x14ac:dyDescent="0.3">
      <c r="A134" s="6" t="s">
        <v>387</v>
      </c>
      <c r="B134" s="6" t="s">
        <v>393</v>
      </c>
      <c r="C134" s="6" t="s">
        <v>382</v>
      </c>
      <c r="D134" s="88">
        <v>1</v>
      </c>
    </row>
    <row r="135" spans="1:4" ht="15.6" x14ac:dyDescent="0.3">
      <c r="A135" s="6" t="s">
        <v>387</v>
      </c>
      <c r="B135" s="78" t="s">
        <v>712</v>
      </c>
      <c r="C135" s="78"/>
      <c r="D135" s="89">
        <v>6</v>
      </c>
    </row>
    <row r="136" spans="1:4" ht="15.6" x14ac:dyDescent="0.3">
      <c r="A136" s="6" t="s">
        <v>387</v>
      </c>
      <c r="B136" s="6" t="s">
        <v>428</v>
      </c>
      <c r="C136" s="6" t="s">
        <v>501</v>
      </c>
      <c r="D136" s="88">
        <v>1</v>
      </c>
    </row>
    <row r="137" spans="1:4" ht="15.6" x14ac:dyDescent="0.3">
      <c r="A137" s="6" t="s">
        <v>387</v>
      </c>
      <c r="B137" s="6" t="s">
        <v>428</v>
      </c>
      <c r="C137" s="6" t="s">
        <v>464</v>
      </c>
      <c r="D137" s="88">
        <v>1</v>
      </c>
    </row>
    <row r="138" spans="1:4" ht="15.6" x14ac:dyDescent="0.3">
      <c r="A138" s="6" t="s">
        <v>387</v>
      </c>
      <c r="B138" s="6" t="s">
        <v>428</v>
      </c>
      <c r="C138" s="6" t="s">
        <v>460</v>
      </c>
      <c r="D138" s="88">
        <v>1</v>
      </c>
    </row>
    <row r="139" spans="1:4" ht="15.6" x14ac:dyDescent="0.3">
      <c r="A139" s="6" t="s">
        <v>387</v>
      </c>
      <c r="B139" s="6" t="s">
        <v>428</v>
      </c>
      <c r="C139" s="6" t="s">
        <v>463</v>
      </c>
      <c r="D139" s="88">
        <v>1</v>
      </c>
    </row>
    <row r="140" spans="1:4" ht="15.6" x14ac:dyDescent="0.3">
      <c r="A140" s="6" t="s">
        <v>387</v>
      </c>
      <c r="B140" s="6" t="s">
        <v>428</v>
      </c>
      <c r="C140" s="6" t="s">
        <v>465</v>
      </c>
      <c r="D140" s="88">
        <v>1</v>
      </c>
    </row>
    <row r="141" spans="1:4" ht="15.6" x14ac:dyDescent="0.3">
      <c r="A141" s="6" t="s">
        <v>387</v>
      </c>
      <c r="B141" s="6" t="s">
        <v>428</v>
      </c>
      <c r="C141" s="6" t="s">
        <v>382</v>
      </c>
      <c r="D141" s="88">
        <v>1</v>
      </c>
    </row>
    <row r="142" spans="1:4" ht="15.6" x14ac:dyDescent="0.3">
      <c r="A142" s="6" t="s">
        <v>387</v>
      </c>
      <c r="B142" s="6" t="s">
        <v>428</v>
      </c>
      <c r="C142" s="6" t="s">
        <v>445</v>
      </c>
      <c r="D142" s="88">
        <v>1</v>
      </c>
    </row>
    <row r="143" spans="1:4" ht="15.6" x14ac:dyDescent="0.3">
      <c r="A143" s="6" t="s">
        <v>387</v>
      </c>
      <c r="B143" s="6" t="s">
        <v>428</v>
      </c>
      <c r="C143" s="6" t="s">
        <v>479</v>
      </c>
      <c r="D143" s="88">
        <v>1</v>
      </c>
    </row>
    <row r="144" spans="1:4" ht="15.6" x14ac:dyDescent="0.3">
      <c r="A144" s="6" t="s">
        <v>387</v>
      </c>
      <c r="B144" s="78" t="s">
        <v>722</v>
      </c>
      <c r="C144" s="78"/>
      <c r="D144" s="89">
        <v>8</v>
      </c>
    </row>
    <row r="145" spans="1:4" ht="15.6" x14ac:dyDescent="0.3">
      <c r="A145" s="6" t="s">
        <v>387</v>
      </c>
      <c r="B145" s="6" t="s">
        <v>388</v>
      </c>
      <c r="C145" s="6" t="s">
        <v>465</v>
      </c>
      <c r="D145" s="88">
        <v>1</v>
      </c>
    </row>
    <row r="146" spans="1:4" ht="15.6" x14ac:dyDescent="0.3">
      <c r="A146" s="6" t="s">
        <v>387</v>
      </c>
      <c r="B146" s="6" t="s">
        <v>388</v>
      </c>
      <c r="C146" s="6" t="s">
        <v>386</v>
      </c>
      <c r="D146" s="88">
        <v>1</v>
      </c>
    </row>
    <row r="147" spans="1:4" ht="15.6" x14ac:dyDescent="0.3">
      <c r="A147" s="6" t="s">
        <v>387</v>
      </c>
      <c r="B147" s="6" t="s">
        <v>388</v>
      </c>
      <c r="C147" s="6" t="s">
        <v>506</v>
      </c>
      <c r="D147" s="88">
        <v>1</v>
      </c>
    </row>
    <row r="148" spans="1:4" ht="15.6" x14ac:dyDescent="0.3">
      <c r="A148" s="6" t="s">
        <v>387</v>
      </c>
      <c r="B148" s="6" t="s">
        <v>388</v>
      </c>
      <c r="C148" s="6" t="s">
        <v>463</v>
      </c>
      <c r="D148" s="88">
        <v>1</v>
      </c>
    </row>
    <row r="149" spans="1:4" ht="15.6" x14ac:dyDescent="0.3">
      <c r="A149" s="6" t="s">
        <v>387</v>
      </c>
      <c r="B149" s="6" t="s">
        <v>388</v>
      </c>
      <c r="C149" s="6" t="s">
        <v>501</v>
      </c>
      <c r="D149" s="88">
        <v>1</v>
      </c>
    </row>
    <row r="150" spans="1:4" ht="15.6" x14ac:dyDescent="0.3">
      <c r="A150" s="6" t="s">
        <v>387</v>
      </c>
      <c r="B150" s="6" t="s">
        <v>388</v>
      </c>
      <c r="C150" s="6" t="s">
        <v>382</v>
      </c>
      <c r="D150" s="88">
        <v>1</v>
      </c>
    </row>
    <row r="151" spans="1:4" ht="15.6" x14ac:dyDescent="0.3">
      <c r="A151" s="6" t="s">
        <v>387</v>
      </c>
      <c r="B151" s="6" t="s">
        <v>388</v>
      </c>
      <c r="C151" s="6" t="s">
        <v>505</v>
      </c>
      <c r="D151" s="88">
        <v>1</v>
      </c>
    </row>
    <row r="152" spans="1:4" ht="15.6" x14ac:dyDescent="0.3">
      <c r="A152" s="6" t="s">
        <v>387</v>
      </c>
      <c r="B152" s="6" t="s">
        <v>388</v>
      </c>
      <c r="C152" s="6" t="s">
        <v>479</v>
      </c>
      <c r="D152" s="88">
        <v>1</v>
      </c>
    </row>
    <row r="153" spans="1:4" ht="15.6" x14ac:dyDescent="0.3">
      <c r="A153" s="6" t="s">
        <v>387</v>
      </c>
      <c r="B153" s="6" t="s">
        <v>388</v>
      </c>
      <c r="C153" s="6" t="s">
        <v>481</v>
      </c>
      <c r="D153" s="88">
        <v>1</v>
      </c>
    </row>
    <row r="154" spans="1:4" ht="15.6" x14ac:dyDescent="0.3">
      <c r="A154" s="6" t="s">
        <v>387</v>
      </c>
      <c r="B154" s="6" t="s">
        <v>388</v>
      </c>
      <c r="C154" s="6" t="s">
        <v>460</v>
      </c>
      <c r="D154" s="88">
        <v>1</v>
      </c>
    </row>
    <row r="155" spans="1:4" ht="15.6" x14ac:dyDescent="0.3">
      <c r="A155" s="6" t="s">
        <v>387</v>
      </c>
      <c r="B155" s="6" t="s">
        <v>388</v>
      </c>
      <c r="C155" s="6" t="s">
        <v>500</v>
      </c>
      <c r="D155" s="88">
        <v>1</v>
      </c>
    </row>
    <row r="156" spans="1:4" ht="15.6" x14ac:dyDescent="0.3">
      <c r="A156" s="6" t="s">
        <v>387</v>
      </c>
      <c r="B156" s="6" t="s">
        <v>388</v>
      </c>
      <c r="C156" s="6" t="s">
        <v>464</v>
      </c>
      <c r="D156" s="88">
        <v>1</v>
      </c>
    </row>
    <row r="157" spans="1:4" ht="15.6" x14ac:dyDescent="0.3">
      <c r="A157" s="6" t="s">
        <v>387</v>
      </c>
      <c r="B157" s="6" t="s">
        <v>388</v>
      </c>
      <c r="C157" s="6" t="s">
        <v>445</v>
      </c>
      <c r="D157" s="88">
        <v>1</v>
      </c>
    </row>
    <row r="158" spans="1:4" ht="15.6" x14ac:dyDescent="0.3">
      <c r="A158" s="6" t="s">
        <v>387</v>
      </c>
      <c r="B158" s="6" t="s">
        <v>388</v>
      </c>
      <c r="C158" s="6" t="s">
        <v>502</v>
      </c>
      <c r="D158" s="88">
        <v>1</v>
      </c>
    </row>
    <row r="159" spans="1:4" ht="15.6" x14ac:dyDescent="0.3">
      <c r="A159" s="6" t="s">
        <v>387</v>
      </c>
      <c r="B159" s="78" t="s">
        <v>711</v>
      </c>
      <c r="C159" s="78"/>
      <c r="D159" s="89">
        <v>14</v>
      </c>
    </row>
    <row r="160" spans="1:4" ht="15.6" x14ac:dyDescent="0.3">
      <c r="A160" s="6" t="s">
        <v>387</v>
      </c>
      <c r="B160" s="6" t="s">
        <v>504</v>
      </c>
      <c r="C160" s="6" t="s">
        <v>502</v>
      </c>
      <c r="D160" s="88">
        <v>1</v>
      </c>
    </row>
    <row r="161" spans="1:4" ht="15.6" x14ac:dyDescent="0.3">
      <c r="A161" s="6" t="s">
        <v>387</v>
      </c>
      <c r="B161" s="78" t="s">
        <v>723</v>
      </c>
      <c r="C161" s="78"/>
      <c r="D161" s="89">
        <v>1</v>
      </c>
    </row>
    <row r="162" spans="1:4" ht="15.6" x14ac:dyDescent="0.3">
      <c r="A162" s="6" t="s">
        <v>387</v>
      </c>
      <c r="B162" s="6" t="s">
        <v>429</v>
      </c>
      <c r="C162" s="6" t="s">
        <v>465</v>
      </c>
      <c r="D162" s="88">
        <v>1</v>
      </c>
    </row>
    <row r="163" spans="1:4" ht="15.6" x14ac:dyDescent="0.3">
      <c r="A163" s="6" t="s">
        <v>387</v>
      </c>
      <c r="B163" s="6" t="s">
        <v>429</v>
      </c>
      <c r="C163" s="6" t="s">
        <v>464</v>
      </c>
      <c r="D163" s="88">
        <v>1</v>
      </c>
    </row>
    <row r="164" spans="1:4" ht="15.6" x14ac:dyDescent="0.3">
      <c r="A164" s="6" t="s">
        <v>387</v>
      </c>
      <c r="B164" s="6" t="s">
        <v>429</v>
      </c>
      <c r="C164" s="6" t="s">
        <v>460</v>
      </c>
      <c r="D164" s="88">
        <v>1</v>
      </c>
    </row>
    <row r="165" spans="1:4" ht="15.6" x14ac:dyDescent="0.3">
      <c r="A165" s="6" t="s">
        <v>387</v>
      </c>
      <c r="B165" s="6" t="s">
        <v>429</v>
      </c>
      <c r="C165" s="6" t="s">
        <v>463</v>
      </c>
      <c r="D165" s="88">
        <v>1</v>
      </c>
    </row>
    <row r="166" spans="1:4" ht="15.6" x14ac:dyDescent="0.3">
      <c r="A166" s="6" t="s">
        <v>387</v>
      </c>
      <c r="B166" s="6" t="s">
        <v>429</v>
      </c>
      <c r="C166" s="6" t="s">
        <v>502</v>
      </c>
      <c r="D166" s="88">
        <v>1</v>
      </c>
    </row>
    <row r="167" spans="1:4" ht="15.6" x14ac:dyDescent="0.3">
      <c r="A167" s="6" t="s">
        <v>387</v>
      </c>
      <c r="B167" s="6" t="s">
        <v>429</v>
      </c>
      <c r="C167" s="6" t="s">
        <v>382</v>
      </c>
      <c r="D167" s="88">
        <v>1</v>
      </c>
    </row>
    <row r="168" spans="1:4" ht="15.6" x14ac:dyDescent="0.3">
      <c r="A168" s="6" t="s">
        <v>387</v>
      </c>
      <c r="B168" s="6" t="s">
        <v>429</v>
      </c>
      <c r="C168" s="6" t="s">
        <v>445</v>
      </c>
      <c r="D168" s="88">
        <v>1</v>
      </c>
    </row>
    <row r="169" spans="1:4" ht="15.6" x14ac:dyDescent="0.3">
      <c r="A169" s="6" t="s">
        <v>387</v>
      </c>
      <c r="B169" s="6" t="s">
        <v>429</v>
      </c>
      <c r="C169" s="6" t="s">
        <v>479</v>
      </c>
      <c r="D169" s="88">
        <v>1</v>
      </c>
    </row>
    <row r="170" spans="1:4" ht="15.6" x14ac:dyDescent="0.3">
      <c r="A170" s="6" t="s">
        <v>387</v>
      </c>
      <c r="B170" s="78" t="s">
        <v>714</v>
      </c>
      <c r="C170" s="78"/>
      <c r="D170" s="89">
        <v>8</v>
      </c>
    </row>
    <row r="171" spans="1:4" ht="15.6" x14ac:dyDescent="0.3">
      <c r="A171" s="6" t="s">
        <v>387</v>
      </c>
      <c r="B171" s="6" t="s">
        <v>458</v>
      </c>
      <c r="C171" s="6" t="s">
        <v>445</v>
      </c>
      <c r="D171" s="88">
        <v>1</v>
      </c>
    </row>
    <row r="172" spans="1:4" ht="15.6" x14ac:dyDescent="0.3">
      <c r="A172" s="6" t="s">
        <v>387</v>
      </c>
      <c r="B172" s="78" t="s">
        <v>691</v>
      </c>
      <c r="C172" s="78"/>
      <c r="D172" s="89">
        <v>1</v>
      </c>
    </row>
    <row r="173" spans="1:4" ht="15.6" x14ac:dyDescent="0.3">
      <c r="A173" s="6" t="s">
        <v>387</v>
      </c>
      <c r="B173" s="6" t="s">
        <v>406</v>
      </c>
      <c r="C173" s="6" t="s">
        <v>479</v>
      </c>
      <c r="D173" s="88">
        <v>1</v>
      </c>
    </row>
    <row r="174" spans="1:4" ht="15.6" x14ac:dyDescent="0.3">
      <c r="A174" s="6" t="s">
        <v>387</v>
      </c>
      <c r="B174" s="6" t="s">
        <v>406</v>
      </c>
      <c r="C174" s="6" t="s">
        <v>382</v>
      </c>
      <c r="D174" s="88">
        <v>1</v>
      </c>
    </row>
    <row r="175" spans="1:4" ht="15.6" x14ac:dyDescent="0.3">
      <c r="A175" s="6" t="s">
        <v>387</v>
      </c>
      <c r="B175" s="6" t="s">
        <v>406</v>
      </c>
      <c r="C175" s="6" t="s">
        <v>445</v>
      </c>
      <c r="D175" s="88">
        <v>1</v>
      </c>
    </row>
    <row r="176" spans="1:4" ht="15.6" x14ac:dyDescent="0.3">
      <c r="A176" s="6" t="s">
        <v>387</v>
      </c>
      <c r="B176" s="6" t="s">
        <v>406</v>
      </c>
      <c r="C176" s="6" t="s">
        <v>463</v>
      </c>
      <c r="D176" s="88">
        <v>1</v>
      </c>
    </row>
    <row r="177" spans="1:4" ht="15.6" x14ac:dyDescent="0.3">
      <c r="A177" s="6" t="s">
        <v>387</v>
      </c>
      <c r="B177" s="78" t="s">
        <v>715</v>
      </c>
      <c r="C177" s="78"/>
      <c r="D177" s="89">
        <v>4</v>
      </c>
    </row>
    <row r="178" spans="1:4" ht="15.6" x14ac:dyDescent="0.3">
      <c r="A178" s="6" t="s">
        <v>387</v>
      </c>
      <c r="B178" s="6" t="s">
        <v>450</v>
      </c>
      <c r="C178" s="6" t="s">
        <v>445</v>
      </c>
      <c r="D178" s="88">
        <v>1</v>
      </c>
    </row>
    <row r="179" spans="1:4" ht="15.6" x14ac:dyDescent="0.3">
      <c r="A179" s="6" t="s">
        <v>387</v>
      </c>
      <c r="B179" s="6" t="s">
        <v>450</v>
      </c>
      <c r="C179" s="6" t="s">
        <v>479</v>
      </c>
      <c r="D179" s="88">
        <v>1</v>
      </c>
    </row>
    <row r="180" spans="1:4" ht="15.6" x14ac:dyDescent="0.3">
      <c r="A180" s="6" t="s">
        <v>387</v>
      </c>
      <c r="B180" s="6" t="s">
        <v>450</v>
      </c>
      <c r="C180" s="6" t="s">
        <v>463</v>
      </c>
      <c r="D180" s="88">
        <v>1</v>
      </c>
    </row>
    <row r="181" spans="1:4" ht="15.6" x14ac:dyDescent="0.3">
      <c r="A181" s="6" t="s">
        <v>387</v>
      </c>
      <c r="B181" s="78" t="s">
        <v>696</v>
      </c>
      <c r="C181" s="78"/>
      <c r="D181" s="89">
        <v>3</v>
      </c>
    </row>
    <row r="182" spans="1:4" ht="15.6" x14ac:dyDescent="0.3">
      <c r="A182" s="6" t="s">
        <v>387</v>
      </c>
      <c r="B182" s="6" t="s">
        <v>396</v>
      </c>
      <c r="C182" s="6" t="s">
        <v>501</v>
      </c>
      <c r="D182" s="88">
        <v>1</v>
      </c>
    </row>
    <row r="183" spans="1:4" ht="15.6" x14ac:dyDescent="0.3">
      <c r="A183" s="6" t="s">
        <v>387</v>
      </c>
      <c r="B183" s="6" t="s">
        <v>396</v>
      </c>
      <c r="C183" s="6" t="s">
        <v>464</v>
      </c>
      <c r="D183" s="88">
        <v>1</v>
      </c>
    </row>
    <row r="184" spans="1:4" ht="15.6" x14ac:dyDescent="0.3">
      <c r="A184" s="6" t="s">
        <v>387</v>
      </c>
      <c r="B184" s="6" t="s">
        <v>396</v>
      </c>
      <c r="C184" s="6" t="s">
        <v>460</v>
      </c>
      <c r="D184" s="88">
        <v>1</v>
      </c>
    </row>
    <row r="185" spans="1:4" ht="15.6" x14ac:dyDescent="0.3">
      <c r="A185" s="6" t="s">
        <v>387</v>
      </c>
      <c r="B185" s="6" t="s">
        <v>396</v>
      </c>
      <c r="C185" s="6" t="s">
        <v>463</v>
      </c>
      <c r="D185" s="88">
        <v>1</v>
      </c>
    </row>
    <row r="186" spans="1:4" ht="15.6" x14ac:dyDescent="0.3">
      <c r="A186" s="6" t="s">
        <v>387</v>
      </c>
      <c r="B186" s="6" t="s">
        <v>396</v>
      </c>
      <c r="C186" s="6" t="s">
        <v>465</v>
      </c>
      <c r="D186" s="88">
        <v>1</v>
      </c>
    </row>
    <row r="187" spans="1:4" ht="15.6" x14ac:dyDescent="0.3">
      <c r="A187" s="6" t="s">
        <v>387</v>
      </c>
      <c r="B187" s="6" t="s">
        <v>396</v>
      </c>
      <c r="C187" s="6" t="s">
        <v>382</v>
      </c>
      <c r="D187" s="88">
        <v>1</v>
      </c>
    </row>
    <row r="188" spans="1:4" ht="15.6" x14ac:dyDescent="0.3">
      <c r="A188" s="6" t="s">
        <v>387</v>
      </c>
      <c r="B188" s="6" t="s">
        <v>396</v>
      </c>
      <c r="C188" s="6" t="s">
        <v>445</v>
      </c>
      <c r="D188" s="88">
        <v>1</v>
      </c>
    </row>
    <row r="189" spans="1:4" ht="15.6" x14ac:dyDescent="0.3">
      <c r="A189" s="6" t="s">
        <v>387</v>
      </c>
      <c r="B189" s="6" t="s">
        <v>396</v>
      </c>
      <c r="C189" s="6" t="s">
        <v>479</v>
      </c>
      <c r="D189" s="88">
        <v>1</v>
      </c>
    </row>
    <row r="190" spans="1:4" ht="15.6" x14ac:dyDescent="0.3">
      <c r="A190" s="6" t="s">
        <v>387</v>
      </c>
      <c r="B190" s="78" t="s">
        <v>710</v>
      </c>
      <c r="C190" s="78"/>
      <c r="D190" s="89">
        <v>8</v>
      </c>
    </row>
    <row r="191" spans="1:4" ht="15.6" x14ac:dyDescent="0.3">
      <c r="A191" s="6" t="s">
        <v>387</v>
      </c>
      <c r="B191" s="6" t="s">
        <v>405</v>
      </c>
      <c r="C191" s="6" t="s">
        <v>479</v>
      </c>
      <c r="D191" s="88">
        <v>1</v>
      </c>
    </row>
    <row r="192" spans="1:4" ht="15.6" x14ac:dyDescent="0.3">
      <c r="A192" s="6" t="s">
        <v>387</v>
      </c>
      <c r="B192" s="6" t="s">
        <v>405</v>
      </c>
      <c r="C192" s="6" t="s">
        <v>382</v>
      </c>
      <c r="D192" s="88">
        <v>1</v>
      </c>
    </row>
    <row r="193" spans="1:4" ht="15.6" x14ac:dyDescent="0.3">
      <c r="A193" s="6" t="s">
        <v>387</v>
      </c>
      <c r="B193" s="6" t="s">
        <v>405</v>
      </c>
      <c r="C193" s="6" t="s">
        <v>445</v>
      </c>
      <c r="D193" s="88">
        <v>1</v>
      </c>
    </row>
    <row r="194" spans="1:4" ht="15.6" x14ac:dyDescent="0.3">
      <c r="A194" s="6" t="s">
        <v>387</v>
      </c>
      <c r="B194" s="6" t="s">
        <v>405</v>
      </c>
      <c r="C194" s="6" t="s">
        <v>463</v>
      </c>
      <c r="D194" s="88">
        <v>1</v>
      </c>
    </row>
    <row r="195" spans="1:4" ht="15.6" x14ac:dyDescent="0.3">
      <c r="A195" s="6" t="s">
        <v>387</v>
      </c>
      <c r="B195" s="78" t="s">
        <v>695</v>
      </c>
      <c r="C195" s="78"/>
      <c r="D195" s="89">
        <v>4</v>
      </c>
    </row>
    <row r="196" spans="1:4" ht="15.6" x14ac:dyDescent="0.3">
      <c r="A196" s="6" t="s">
        <v>387</v>
      </c>
      <c r="B196" s="6" t="s">
        <v>451</v>
      </c>
      <c r="C196" s="6" t="s">
        <v>445</v>
      </c>
      <c r="D196" s="88">
        <v>1</v>
      </c>
    </row>
    <row r="197" spans="1:4" ht="15.6" x14ac:dyDescent="0.3">
      <c r="A197" s="6" t="s">
        <v>387</v>
      </c>
      <c r="B197" s="6" t="s">
        <v>451</v>
      </c>
      <c r="C197" s="6" t="s">
        <v>479</v>
      </c>
      <c r="D197" s="88">
        <v>1</v>
      </c>
    </row>
    <row r="198" spans="1:4" ht="15.6" x14ac:dyDescent="0.3">
      <c r="A198" s="6" t="s">
        <v>387</v>
      </c>
      <c r="B198" s="6" t="s">
        <v>451</v>
      </c>
      <c r="C198" s="6" t="s">
        <v>463</v>
      </c>
      <c r="D198" s="88">
        <v>1</v>
      </c>
    </row>
    <row r="199" spans="1:4" ht="15.6" x14ac:dyDescent="0.3">
      <c r="A199" s="6" t="s">
        <v>387</v>
      </c>
      <c r="B199" s="78" t="s">
        <v>705</v>
      </c>
      <c r="C199" s="78"/>
      <c r="D199" s="89">
        <v>3</v>
      </c>
    </row>
    <row r="200" spans="1:4" ht="15.6" x14ac:dyDescent="0.3">
      <c r="A200" s="6" t="s">
        <v>387</v>
      </c>
      <c r="B200" s="6" t="s">
        <v>415</v>
      </c>
      <c r="C200" s="6" t="s">
        <v>479</v>
      </c>
      <c r="D200" s="88">
        <v>1</v>
      </c>
    </row>
    <row r="201" spans="1:4" ht="15.6" x14ac:dyDescent="0.3">
      <c r="A201" s="6" t="s">
        <v>387</v>
      </c>
      <c r="B201" s="6" t="s">
        <v>415</v>
      </c>
      <c r="C201" s="6" t="s">
        <v>382</v>
      </c>
      <c r="D201" s="88">
        <v>1</v>
      </c>
    </row>
    <row r="202" spans="1:4" ht="15.6" x14ac:dyDescent="0.3">
      <c r="A202" s="6" t="s">
        <v>387</v>
      </c>
      <c r="B202" s="6" t="s">
        <v>415</v>
      </c>
      <c r="C202" s="6" t="s">
        <v>445</v>
      </c>
      <c r="D202" s="88">
        <v>1</v>
      </c>
    </row>
    <row r="203" spans="1:4" ht="15.6" x14ac:dyDescent="0.3">
      <c r="A203" s="6" t="s">
        <v>387</v>
      </c>
      <c r="B203" s="6" t="s">
        <v>415</v>
      </c>
      <c r="C203" s="6" t="s">
        <v>463</v>
      </c>
      <c r="D203" s="88">
        <v>1</v>
      </c>
    </row>
    <row r="204" spans="1:4" ht="15.6" x14ac:dyDescent="0.3">
      <c r="A204" s="6" t="s">
        <v>387</v>
      </c>
      <c r="B204" s="78" t="s">
        <v>721</v>
      </c>
      <c r="C204" s="78"/>
      <c r="D204" s="89">
        <v>4</v>
      </c>
    </row>
    <row r="205" spans="1:4" ht="15.6" x14ac:dyDescent="0.3">
      <c r="A205" s="6" t="s">
        <v>387</v>
      </c>
      <c r="B205" s="6" t="s">
        <v>491</v>
      </c>
      <c r="C205" s="6" t="s">
        <v>479</v>
      </c>
      <c r="D205" s="88">
        <v>1</v>
      </c>
    </row>
    <row r="206" spans="1:4" ht="15.6" x14ac:dyDescent="0.3">
      <c r="A206" s="6" t="s">
        <v>387</v>
      </c>
      <c r="B206" s="6" t="s">
        <v>491</v>
      </c>
      <c r="C206" s="6" t="s">
        <v>463</v>
      </c>
      <c r="D206" s="88">
        <v>1</v>
      </c>
    </row>
    <row r="207" spans="1:4" ht="15.6" x14ac:dyDescent="0.3">
      <c r="A207" s="6" t="s">
        <v>387</v>
      </c>
      <c r="B207" s="78" t="s">
        <v>728</v>
      </c>
      <c r="C207" s="78"/>
      <c r="D207" s="89">
        <v>2</v>
      </c>
    </row>
    <row r="208" spans="1:4" ht="15.6" x14ac:dyDescent="0.3">
      <c r="A208" s="6" t="s">
        <v>387</v>
      </c>
      <c r="B208" s="6" t="s">
        <v>402</v>
      </c>
      <c r="C208" s="6" t="s">
        <v>479</v>
      </c>
      <c r="D208" s="88">
        <v>1</v>
      </c>
    </row>
    <row r="209" spans="1:4" ht="15.6" x14ac:dyDescent="0.3">
      <c r="A209" s="6" t="s">
        <v>387</v>
      </c>
      <c r="B209" s="6" t="s">
        <v>402</v>
      </c>
      <c r="C209" s="6" t="s">
        <v>382</v>
      </c>
      <c r="D209" s="88">
        <v>1</v>
      </c>
    </row>
    <row r="210" spans="1:4" ht="15.6" x14ac:dyDescent="0.3">
      <c r="A210" s="6" t="s">
        <v>387</v>
      </c>
      <c r="B210" s="6" t="s">
        <v>402</v>
      </c>
      <c r="C210" s="6" t="s">
        <v>445</v>
      </c>
      <c r="D210" s="88">
        <v>1</v>
      </c>
    </row>
    <row r="211" spans="1:4" ht="15.6" x14ac:dyDescent="0.3">
      <c r="A211" s="6" t="s">
        <v>387</v>
      </c>
      <c r="B211" s="6" t="s">
        <v>402</v>
      </c>
      <c r="C211" s="6" t="s">
        <v>463</v>
      </c>
      <c r="D211" s="88">
        <v>1</v>
      </c>
    </row>
    <row r="212" spans="1:4" ht="15.6" x14ac:dyDescent="0.3">
      <c r="A212" s="6" t="s">
        <v>387</v>
      </c>
      <c r="B212" s="78" t="s">
        <v>720</v>
      </c>
      <c r="C212" s="78"/>
      <c r="D212" s="89">
        <v>4</v>
      </c>
    </row>
    <row r="213" spans="1:4" ht="15.6" x14ac:dyDescent="0.3">
      <c r="A213" s="6" t="s">
        <v>387</v>
      </c>
      <c r="B213" s="6" t="s">
        <v>394</v>
      </c>
      <c r="C213" s="6" t="s">
        <v>479</v>
      </c>
      <c r="D213" s="88">
        <v>1</v>
      </c>
    </row>
    <row r="214" spans="1:4" ht="15.6" x14ac:dyDescent="0.3">
      <c r="A214" s="6" t="s">
        <v>387</v>
      </c>
      <c r="B214" s="6" t="s">
        <v>394</v>
      </c>
      <c r="C214" s="6" t="s">
        <v>445</v>
      </c>
      <c r="D214" s="88">
        <v>1</v>
      </c>
    </row>
    <row r="215" spans="1:4" ht="15.6" x14ac:dyDescent="0.3">
      <c r="A215" s="6" t="s">
        <v>387</v>
      </c>
      <c r="B215" s="6" t="s">
        <v>394</v>
      </c>
      <c r="C215" s="6" t="s">
        <v>465</v>
      </c>
      <c r="D215" s="88">
        <v>1</v>
      </c>
    </row>
    <row r="216" spans="1:4" ht="15.6" x14ac:dyDescent="0.3">
      <c r="A216" s="6" t="s">
        <v>387</v>
      </c>
      <c r="B216" s="6" t="s">
        <v>394</v>
      </c>
      <c r="C216" s="6" t="s">
        <v>463</v>
      </c>
      <c r="D216" s="88">
        <v>1</v>
      </c>
    </row>
    <row r="217" spans="1:4" ht="15.6" x14ac:dyDescent="0.3">
      <c r="A217" s="6" t="s">
        <v>387</v>
      </c>
      <c r="B217" s="6" t="s">
        <v>394</v>
      </c>
      <c r="C217" s="6" t="s">
        <v>382</v>
      </c>
      <c r="D217" s="88">
        <v>1</v>
      </c>
    </row>
    <row r="218" spans="1:4" ht="15.6" x14ac:dyDescent="0.3">
      <c r="A218" s="6" t="s">
        <v>387</v>
      </c>
      <c r="B218" s="78" t="s">
        <v>718</v>
      </c>
      <c r="C218" s="78"/>
      <c r="D218" s="89">
        <v>5</v>
      </c>
    </row>
    <row r="219" spans="1:4" ht="15.6" x14ac:dyDescent="0.3">
      <c r="A219" s="6" t="s">
        <v>387</v>
      </c>
      <c r="B219" s="6" t="s">
        <v>459</v>
      </c>
      <c r="C219" s="6" t="s">
        <v>463</v>
      </c>
      <c r="D219" s="88">
        <v>1</v>
      </c>
    </row>
    <row r="220" spans="1:4" ht="15.6" x14ac:dyDescent="0.3">
      <c r="A220" s="6" t="s">
        <v>387</v>
      </c>
      <c r="B220" s="6" t="s">
        <v>459</v>
      </c>
      <c r="C220" s="6" t="s">
        <v>445</v>
      </c>
      <c r="D220" s="88">
        <v>1</v>
      </c>
    </row>
    <row r="221" spans="1:4" ht="15.6" x14ac:dyDescent="0.3">
      <c r="A221" s="6" t="s">
        <v>387</v>
      </c>
      <c r="B221" s="78" t="s">
        <v>729</v>
      </c>
      <c r="C221" s="78"/>
      <c r="D221" s="89">
        <v>2</v>
      </c>
    </row>
    <row r="222" spans="1:4" ht="15.6" x14ac:dyDescent="0.3">
      <c r="A222" s="6" t="s">
        <v>387</v>
      </c>
      <c r="B222" s="6" t="s">
        <v>488</v>
      </c>
      <c r="C222" s="6" t="s">
        <v>479</v>
      </c>
      <c r="D222" s="88">
        <v>1</v>
      </c>
    </row>
    <row r="223" spans="1:4" ht="15.6" x14ac:dyDescent="0.3">
      <c r="A223" s="6" t="s">
        <v>387</v>
      </c>
      <c r="B223" s="6" t="s">
        <v>488</v>
      </c>
      <c r="C223" s="6" t="s">
        <v>463</v>
      </c>
      <c r="D223" s="88">
        <v>1</v>
      </c>
    </row>
    <row r="224" spans="1:4" ht="15.6" x14ac:dyDescent="0.3">
      <c r="A224" s="6" t="s">
        <v>387</v>
      </c>
      <c r="B224" s="78" t="s">
        <v>716</v>
      </c>
      <c r="C224" s="78"/>
      <c r="D224" s="89">
        <v>2</v>
      </c>
    </row>
    <row r="225" spans="1:4" ht="15.6" x14ac:dyDescent="0.3">
      <c r="A225" s="6" t="s">
        <v>387</v>
      </c>
      <c r="B225" s="6" t="s">
        <v>397</v>
      </c>
      <c r="C225" s="6" t="s">
        <v>445</v>
      </c>
      <c r="D225" s="88">
        <v>1</v>
      </c>
    </row>
    <row r="226" spans="1:4" ht="15.6" x14ac:dyDescent="0.3">
      <c r="A226" s="6" t="s">
        <v>387</v>
      </c>
      <c r="B226" s="6" t="s">
        <v>397</v>
      </c>
      <c r="C226" s="6" t="s">
        <v>464</v>
      </c>
      <c r="D226" s="88">
        <v>1</v>
      </c>
    </row>
    <row r="227" spans="1:4" ht="15.6" x14ac:dyDescent="0.3">
      <c r="A227" s="6" t="s">
        <v>387</v>
      </c>
      <c r="B227" s="6" t="s">
        <v>397</v>
      </c>
      <c r="C227" s="6" t="s">
        <v>460</v>
      </c>
      <c r="D227" s="88">
        <v>1</v>
      </c>
    </row>
    <row r="228" spans="1:4" ht="15.6" x14ac:dyDescent="0.3">
      <c r="A228" s="6" t="s">
        <v>387</v>
      </c>
      <c r="B228" s="6" t="s">
        <v>397</v>
      </c>
      <c r="C228" s="6" t="s">
        <v>463</v>
      </c>
      <c r="D228" s="88">
        <v>1</v>
      </c>
    </row>
    <row r="229" spans="1:4" ht="15.6" x14ac:dyDescent="0.3">
      <c r="A229" s="6" t="s">
        <v>387</v>
      </c>
      <c r="B229" s="6" t="s">
        <v>397</v>
      </c>
      <c r="C229" s="6" t="s">
        <v>465</v>
      </c>
      <c r="D229" s="88">
        <v>1</v>
      </c>
    </row>
    <row r="230" spans="1:4" ht="15.6" x14ac:dyDescent="0.3">
      <c r="A230" s="6" t="s">
        <v>387</v>
      </c>
      <c r="B230" s="6" t="s">
        <v>397</v>
      </c>
      <c r="C230" s="6" t="s">
        <v>382</v>
      </c>
      <c r="D230" s="88">
        <v>1</v>
      </c>
    </row>
    <row r="231" spans="1:4" ht="15.6" x14ac:dyDescent="0.3">
      <c r="A231" s="6" t="s">
        <v>387</v>
      </c>
      <c r="B231" s="6" t="s">
        <v>397</v>
      </c>
      <c r="C231" s="6" t="s">
        <v>479</v>
      </c>
      <c r="D231" s="88">
        <v>1</v>
      </c>
    </row>
    <row r="232" spans="1:4" ht="15.6" x14ac:dyDescent="0.3">
      <c r="A232" s="6" t="s">
        <v>387</v>
      </c>
      <c r="B232" s="78" t="s">
        <v>709</v>
      </c>
      <c r="C232" s="78"/>
      <c r="D232" s="89">
        <v>7</v>
      </c>
    </row>
    <row r="233" spans="1:4" ht="15.6" x14ac:dyDescent="0.3">
      <c r="A233" s="6" t="s">
        <v>387</v>
      </c>
      <c r="B233" s="6" t="s">
        <v>403</v>
      </c>
      <c r="C233" s="6" t="s">
        <v>479</v>
      </c>
      <c r="D233" s="88">
        <v>1</v>
      </c>
    </row>
    <row r="234" spans="1:4" ht="15.6" x14ac:dyDescent="0.3">
      <c r="A234" s="6" t="s">
        <v>387</v>
      </c>
      <c r="B234" s="6" t="s">
        <v>403</v>
      </c>
      <c r="C234" s="6" t="s">
        <v>382</v>
      </c>
      <c r="D234" s="88">
        <v>1</v>
      </c>
    </row>
    <row r="235" spans="1:4" ht="15.6" x14ac:dyDescent="0.3">
      <c r="A235" s="6" t="s">
        <v>387</v>
      </c>
      <c r="B235" s="6" t="s">
        <v>403</v>
      </c>
      <c r="C235" s="6" t="s">
        <v>445</v>
      </c>
      <c r="D235" s="88">
        <v>1</v>
      </c>
    </row>
    <row r="236" spans="1:4" ht="15.6" x14ac:dyDescent="0.3">
      <c r="A236" s="6" t="s">
        <v>387</v>
      </c>
      <c r="B236" s="6" t="s">
        <v>403</v>
      </c>
      <c r="C236" s="6" t="s">
        <v>463</v>
      </c>
      <c r="D236" s="88">
        <v>1</v>
      </c>
    </row>
    <row r="237" spans="1:4" ht="15.6" x14ac:dyDescent="0.3">
      <c r="A237" s="6" t="s">
        <v>387</v>
      </c>
      <c r="B237" s="78" t="s">
        <v>692</v>
      </c>
      <c r="C237" s="78"/>
      <c r="D237" s="89">
        <v>4</v>
      </c>
    </row>
    <row r="238" spans="1:4" ht="15.6" x14ac:dyDescent="0.3">
      <c r="A238" s="6" t="s">
        <v>387</v>
      </c>
      <c r="B238" s="6" t="s">
        <v>478</v>
      </c>
      <c r="C238" s="6" t="s">
        <v>479</v>
      </c>
      <c r="D238" s="88">
        <v>1</v>
      </c>
    </row>
    <row r="239" spans="1:4" ht="15.6" x14ac:dyDescent="0.3">
      <c r="A239" s="6" t="s">
        <v>387</v>
      </c>
      <c r="B239" s="6" t="s">
        <v>478</v>
      </c>
      <c r="C239" s="6" t="s">
        <v>382</v>
      </c>
      <c r="D239" s="88">
        <v>1</v>
      </c>
    </row>
    <row r="240" spans="1:4" ht="15.6" x14ac:dyDescent="0.3">
      <c r="A240" s="6" t="s">
        <v>387</v>
      </c>
      <c r="B240" s="6" t="s">
        <v>478</v>
      </c>
      <c r="C240" s="6" t="s">
        <v>445</v>
      </c>
      <c r="D240" s="88">
        <v>1</v>
      </c>
    </row>
    <row r="241" spans="1:4" ht="15.6" x14ac:dyDescent="0.3">
      <c r="A241" s="6" t="s">
        <v>387</v>
      </c>
      <c r="B241" s="6" t="s">
        <v>478</v>
      </c>
      <c r="C241" s="6" t="s">
        <v>463</v>
      </c>
      <c r="D241" s="88">
        <v>1</v>
      </c>
    </row>
    <row r="242" spans="1:4" ht="15.6" x14ac:dyDescent="0.3">
      <c r="A242" s="6" t="s">
        <v>387</v>
      </c>
      <c r="B242" s="78" t="s">
        <v>685</v>
      </c>
      <c r="C242" s="78"/>
      <c r="D242" s="89">
        <v>4</v>
      </c>
    </row>
    <row r="243" spans="1:4" ht="15.6" x14ac:dyDescent="0.3">
      <c r="A243" s="6" t="s">
        <v>387</v>
      </c>
      <c r="B243" s="6" t="s">
        <v>416</v>
      </c>
      <c r="C243" s="6" t="s">
        <v>382</v>
      </c>
      <c r="D243" s="88">
        <v>1</v>
      </c>
    </row>
    <row r="244" spans="1:4" ht="15.6" x14ac:dyDescent="0.3">
      <c r="A244" s="6" t="s">
        <v>387</v>
      </c>
      <c r="B244" s="6" t="s">
        <v>416</v>
      </c>
      <c r="C244" s="6" t="s">
        <v>445</v>
      </c>
      <c r="D244" s="88">
        <v>1</v>
      </c>
    </row>
    <row r="245" spans="1:4" ht="15.6" x14ac:dyDescent="0.3">
      <c r="A245" s="6" t="s">
        <v>387</v>
      </c>
      <c r="B245" s="78" t="s">
        <v>719</v>
      </c>
      <c r="C245" s="78"/>
      <c r="D245" s="89">
        <v>2</v>
      </c>
    </row>
    <row r="246" spans="1:4" ht="15.6" x14ac:dyDescent="0.3">
      <c r="A246" s="6" t="s">
        <v>387</v>
      </c>
      <c r="B246" s="6" t="s">
        <v>507</v>
      </c>
      <c r="C246" s="6" t="s">
        <v>506</v>
      </c>
      <c r="D246" s="88">
        <v>1</v>
      </c>
    </row>
    <row r="247" spans="1:4" ht="15.6" x14ac:dyDescent="0.3">
      <c r="A247" s="6" t="s">
        <v>387</v>
      </c>
      <c r="B247" s="78" t="s">
        <v>727</v>
      </c>
      <c r="C247" s="78"/>
      <c r="D247" s="89">
        <v>1</v>
      </c>
    </row>
    <row r="248" spans="1:4" ht="15.6" x14ac:dyDescent="0.3">
      <c r="A248" s="79" t="s">
        <v>732</v>
      </c>
      <c r="B248" s="79"/>
      <c r="C248" s="79"/>
      <c r="D248" s="90">
        <v>197</v>
      </c>
    </row>
    <row r="249" spans="1:4" ht="15.6" x14ac:dyDescent="0.3">
      <c r="A249" s="6" t="s">
        <v>390</v>
      </c>
      <c r="B249" s="6" t="s">
        <v>423</v>
      </c>
      <c r="C249" s="6" t="s">
        <v>479</v>
      </c>
      <c r="D249" s="88">
        <v>1</v>
      </c>
    </row>
    <row r="250" spans="1:4" ht="15.6" x14ac:dyDescent="0.3">
      <c r="A250" s="6" t="s">
        <v>390</v>
      </c>
      <c r="B250" s="6" t="s">
        <v>423</v>
      </c>
      <c r="C250" s="6" t="s">
        <v>382</v>
      </c>
      <c r="D250" s="88">
        <v>1</v>
      </c>
    </row>
    <row r="251" spans="1:4" ht="15.6" x14ac:dyDescent="0.3">
      <c r="A251" s="6" t="s">
        <v>390</v>
      </c>
      <c r="B251" s="6" t="s">
        <v>423</v>
      </c>
      <c r="C251" s="6" t="s">
        <v>445</v>
      </c>
      <c r="D251" s="88">
        <v>1</v>
      </c>
    </row>
    <row r="252" spans="1:4" ht="15.6" x14ac:dyDescent="0.3">
      <c r="A252" s="6" t="s">
        <v>390</v>
      </c>
      <c r="B252" s="6" t="s">
        <v>423</v>
      </c>
      <c r="C252" s="6" t="s">
        <v>463</v>
      </c>
      <c r="D252" s="88">
        <v>1</v>
      </c>
    </row>
    <row r="253" spans="1:4" ht="15.6" x14ac:dyDescent="0.3">
      <c r="A253" s="6" t="s">
        <v>390</v>
      </c>
      <c r="B253" s="78" t="s">
        <v>642</v>
      </c>
      <c r="C253" s="78"/>
      <c r="D253" s="89">
        <v>4</v>
      </c>
    </row>
    <row r="254" spans="1:4" ht="15.6" x14ac:dyDescent="0.3">
      <c r="A254" s="6" t="s">
        <v>390</v>
      </c>
      <c r="B254" s="6" t="s">
        <v>477</v>
      </c>
      <c r="C254" s="6" t="s">
        <v>463</v>
      </c>
      <c r="D254" s="88">
        <v>1</v>
      </c>
    </row>
    <row r="255" spans="1:4" ht="15.6" x14ac:dyDescent="0.3">
      <c r="A255" s="6" t="s">
        <v>390</v>
      </c>
      <c r="B255" s="6" t="s">
        <v>477</v>
      </c>
      <c r="C255" s="6" t="s">
        <v>445</v>
      </c>
      <c r="D255" s="88">
        <v>1</v>
      </c>
    </row>
    <row r="256" spans="1:4" ht="15.6" x14ac:dyDescent="0.3">
      <c r="A256" s="6" t="s">
        <v>390</v>
      </c>
      <c r="B256" s="78" t="s">
        <v>651</v>
      </c>
      <c r="C256" s="78"/>
      <c r="D256" s="89">
        <v>2</v>
      </c>
    </row>
    <row r="257" spans="1:4" ht="15.6" x14ac:dyDescent="0.3">
      <c r="A257" s="6" t="s">
        <v>390</v>
      </c>
      <c r="B257" s="6" t="s">
        <v>473</v>
      </c>
      <c r="C257" s="6" t="s">
        <v>463</v>
      </c>
      <c r="D257" s="88">
        <v>1</v>
      </c>
    </row>
    <row r="258" spans="1:4" ht="15.6" x14ac:dyDescent="0.3">
      <c r="A258" s="6" t="s">
        <v>390</v>
      </c>
      <c r="B258" s="6" t="s">
        <v>473</v>
      </c>
      <c r="C258" s="6" t="s">
        <v>445</v>
      </c>
      <c r="D258" s="88">
        <v>1</v>
      </c>
    </row>
    <row r="259" spans="1:4" ht="15.6" x14ac:dyDescent="0.3">
      <c r="A259" s="6" t="s">
        <v>390</v>
      </c>
      <c r="B259" s="78" t="s">
        <v>623</v>
      </c>
      <c r="C259" s="78"/>
      <c r="D259" s="89">
        <v>2</v>
      </c>
    </row>
    <row r="260" spans="1:4" ht="15.6" x14ac:dyDescent="0.3">
      <c r="A260" s="6" t="s">
        <v>390</v>
      </c>
      <c r="B260" s="6" t="s">
        <v>389</v>
      </c>
      <c r="C260" s="6" t="s">
        <v>465</v>
      </c>
      <c r="D260" s="88">
        <v>1</v>
      </c>
    </row>
    <row r="261" spans="1:4" ht="15.6" x14ac:dyDescent="0.3">
      <c r="A261" s="6" t="s">
        <v>390</v>
      </c>
      <c r="B261" s="6" t="s">
        <v>389</v>
      </c>
      <c r="C261" s="6" t="s">
        <v>500</v>
      </c>
      <c r="D261" s="88">
        <v>1</v>
      </c>
    </row>
    <row r="262" spans="1:4" ht="15.6" x14ac:dyDescent="0.3">
      <c r="A262" s="6" t="s">
        <v>390</v>
      </c>
      <c r="B262" s="6" t="s">
        <v>389</v>
      </c>
      <c r="C262" s="6" t="s">
        <v>481</v>
      </c>
      <c r="D262" s="88">
        <v>1</v>
      </c>
    </row>
    <row r="263" spans="1:4" ht="15.6" x14ac:dyDescent="0.3">
      <c r="A263" s="6" t="s">
        <v>390</v>
      </c>
      <c r="B263" s="6" t="s">
        <v>389</v>
      </c>
      <c r="C263" s="6" t="s">
        <v>463</v>
      </c>
      <c r="D263" s="88">
        <v>1</v>
      </c>
    </row>
    <row r="264" spans="1:4" ht="15.6" x14ac:dyDescent="0.3">
      <c r="A264" s="6" t="s">
        <v>390</v>
      </c>
      <c r="B264" s="6" t="s">
        <v>389</v>
      </c>
      <c r="C264" s="6" t="s">
        <v>445</v>
      </c>
      <c r="D264" s="88">
        <v>1</v>
      </c>
    </row>
    <row r="265" spans="1:4" ht="15.6" x14ac:dyDescent="0.3">
      <c r="A265" s="6" t="s">
        <v>390</v>
      </c>
      <c r="B265" s="6" t="s">
        <v>389</v>
      </c>
      <c r="C265" s="6" t="s">
        <v>382</v>
      </c>
      <c r="D265" s="88">
        <v>1</v>
      </c>
    </row>
    <row r="266" spans="1:4" ht="15.6" x14ac:dyDescent="0.3">
      <c r="A266" s="6" t="s">
        <v>390</v>
      </c>
      <c r="B266" s="6" t="s">
        <v>389</v>
      </c>
      <c r="C266" s="6" t="s">
        <v>505</v>
      </c>
      <c r="D266" s="88">
        <v>1</v>
      </c>
    </row>
    <row r="267" spans="1:4" ht="15.6" x14ac:dyDescent="0.3">
      <c r="A267" s="6" t="s">
        <v>390</v>
      </c>
      <c r="B267" s="6" t="s">
        <v>389</v>
      </c>
      <c r="C267" s="6" t="s">
        <v>479</v>
      </c>
      <c r="D267" s="88">
        <v>1</v>
      </c>
    </row>
    <row r="268" spans="1:4" ht="15.6" x14ac:dyDescent="0.3">
      <c r="A268" s="6" t="s">
        <v>390</v>
      </c>
      <c r="B268" s="6" t="s">
        <v>389</v>
      </c>
      <c r="C268" s="6" t="s">
        <v>386</v>
      </c>
      <c r="D268" s="88">
        <v>1</v>
      </c>
    </row>
    <row r="269" spans="1:4" ht="15.6" x14ac:dyDescent="0.3">
      <c r="A269" s="6" t="s">
        <v>390</v>
      </c>
      <c r="B269" s="6" t="s">
        <v>389</v>
      </c>
      <c r="C269" s="6" t="s">
        <v>460</v>
      </c>
      <c r="D269" s="88">
        <v>1</v>
      </c>
    </row>
    <row r="270" spans="1:4" ht="15.6" x14ac:dyDescent="0.3">
      <c r="A270" s="6" t="s">
        <v>390</v>
      </c>
      <c r="B270" s="6" t="s">
        <v>389</v>
      </c>
      <c r="C270" s="6" t="s">
        <v>501</v>
      </c>
      <c r="D270" s="88">
        <v>1</v>
      </c>
    </row>
    <row r="271" spans="1:4" ht="15.6" x14ac:dyDescent="0.3">
      <c r="A271" s="6" t="s">
        <v>390</v>
      </c>
      <c r="B271" s="6" t="s">
        <v>389</v>
      </c>
      <c r="C271" s="6" t="s">
        <v>464</v>
      </c>
      <c r="D271" s="88">
        <v>1</v>
      </c>
    </row>
    <row r="272" spans="1:4" ht="15.6" x14ac:dyDescent="0.3">
      <c r="A272" s="6" t="s">
        <v>390</v>
      </c>
      <c r="B272" s="6" t="s">
        <v>389</v>
      </c>
      <c r="C272" s="6" t="s">
        <v>502</v>
      </c>
      <c r="D272" s="88">
        <v>1</v>
      </c>
    </row>
    <row r="273" spans="1:4" ht="15.6" x14ac:dyDescent="0.3">
      <c r="A273" s="6" t="s">
        <v>390</v>
      </c>
      <c r="B273" s="78" t="s">
        <v>627</v>
      </c>
      <c r="C273" s="78"/>
      <c r="D273" s="89">
        <v>13</v>
      </c>
    </row>
    <row r="274" spans="1:4" ht="15.6" x14ac:dyDescent="0.3">
      <c r="A274" s="6" t="s">
        <v>390</v>
      </c>
      <c r="B274" s="6" t="s">
        <v>408</v>
      </c>
      <c r="C274" s="6" t="s">
        <v>479</v>
      </c>
      <c r="D274" s="88">
        <v>1</v>
      </c>
    </row>
    <row r="275" spans="1:4" ht="15.6" x14ac:dyDescent="0.3">
      <c r="A275" s="6" t="s">
        <v>390</v>
      </c>
      <c r="B275" s="6" t="s">
        <v>408</v>
      </c>
      <c r="C275" s="6" t="s">
        <v>445</v>
      </c>
      <c r="D275" s="88">
        <v>1</v>
      </c>
    </row>
    <row r="276" spans="1:4" ht="15.6" x14ac:dyDescent="0.3">
      <c r="A276" s="6" t="s">
        <v>390</v>
      </c>
      <c r="B276" s="6" t="s">
        <v>408</v>
      </c>
      <c r="C276" s="6" t="s">
        <v>506</v>
      </c>
      <c r="D276" s="88">
        <v>1</v>
      </c>
    </row>
    <row r="277" spans="1:4" ht="15.6" x14ac:dyDescent="0.3">
      <c r="A277" s="6" t="s">
        <v>390</v>
      </c>
      <c r="B277" s="6" t="s">
        <v>408</v>
      </c>
      <c r="C277" s="6" t="s">
        <v>463</v>
      </c>
      <c r="D277" s="88">
        <v>1</v>
      </c>
    </row>
    <row r="278" spans="1:4" ht="15.6" x14ac:dyDescent="0.3">
      <c r="A278" s="6" t="s">
        <v>390</v>
      </c>
      <c r="B278" s="6" t="s">
        <v>408</v>
      </c>
      <c r="C278" s="6" t="s">
        <v>382</v>
      </c>
      <c r="D278" s="88">
        <v>1</v>
      </c>
    </row>
    <row r="279" spans="1:4" ht="15.6" x14ac:dyDescent="0.3">
      <c r="A279" s="6" t="s">
        <v>390</v>
      </c>
      <c r="B279" s="78" t="s">
        <v>635</v>
      </c>
      <c r="C279" s="78"/>
      <c r="D279" s="89">
        <v>5</v>
      </c>
    </row>
    <row r="280" spans="1:4" ht="15.6" x14ac:dyDescent="0.3">
      <c r="A280" s="6" t="s">
        <v>390</v>
      </c>
      <c r="B280" s="6" t="s">
        <v>470</v>
      </c>
      <c r="C280" s="6" t="s">
        <v>445</v>
      </c>
      <c r="D280" s="88">
        <v>1</v>
      </c>
    </row>
    <row r="281" spans="1:4" ht="15.6" x14ac:dyDescent="0.3">
      <c r="A281" s="6" t="s">
        <v>390</v>
      </c>
      <c r="B281" s="6" t="s">
        <v>470</v>
      </c>
      <c r="C281" s="6" t="s">
        <v>479</v>
      </c>
      <c r="D281" s="88">
        <v>1</v>
      </c>
    </row>
    <row r="282" spans="1:4" ht="15.6" x14ac:dyDescent="0.3">
      <c r="A282" s="6" t="s">
        <v>390</v>
      </c>
      <c r="B282" s="6" t="s">
        <v>470</v>
      </c>
      <c r="C282" s="6" t="s">
        <v>463</v>
      </c>
      <c r="D282" s="88">
        <v>1</v>
      </c>
    </row>
    <row r="283" spans="1:4" ht="15.6" x14ac:dyDescent="0.3">
      <c r="A283" s="6" t="s">
        <v>390</v>
      </c>
      <c r="B283" s="78" t="s">
        <v>644</v>
      </c>
      <c r="C283" s="78"/>
      <c r="D283" s="89">
        <v>3</v>
      </c>
    </row>
    <row r="284" spans="1:4" ht="15.6" x14ac:dyDescent="0.3">
      <c r="A284" s="6" t="s">
        <v>390</v>
      </c>
      <c r="B284" s="6" t="s">
        <v>411</v>
      </c>
      <c r="C284" s="6" t="s">
        <v>382</v>
      </c>
      <c r="D284" s="88">
        <v>1</v>
      </c>
    </row>
    <row r="285" spans="1:4" ht="15.6" x14ac:dyDescent="0.3">
      <c r="A285" s="6" t="s">
        <v>390</v>
      </c>
      <c r="B285" s="78" t="s">
        <v>654</v>
      </c>
      <c r="C285" s="78"/>
      <c r="D285" s="89">
        <v>1</v>
      </c>
    </row>
    <row r="286" spans="1:4" ht="15.6" x14ac:dyDescent="0.3">
      <c r="A286" s="6" t="s">
        <v>390</v>
      </c>
      <c r="B286" s="6" t="s">
        <v>462</v>
      </c>
      <c r="C286" s="6" t="s">
        <v>463</v>
      </c>
      <c r="D286" s="88">
        <v>1</v>
      </c>
    </row>
    <row r="287" spans="1:4" ht="15.6" x14ac:dyDescent="0.3">
      <c r="A287" s="6" t="s">
        <v>390</v>
      </c>
      <c r="B287" s="6" t="s">
        <v>462</v>
      </c>
      <c r="C287" s="6" t="s">
        <v>445</v>
      </c>
      <c r="D287" s="88">
        <v>1</v>
      </c>
    </row>
    <row r="288" spans="1:4" ht="15.6" x14ac:dyDescent="0.3">
      <c r="A288" s="6" t="s">
        <v>390</v>
      </c>
      <c r="B288" s="78" t="s">
        <v>640</v>
      </c>
      <c r="C288" s="78"/>
      <c r="D288" s="89">
        <v>2</v>
      </c>
    </row>
    <row r="289" spans="1:4" ht="15.6" x14ac:dyDescent="0.3">
      <c r="A289" s="6" t="s">
        <v>390</v>
      </c>
      <c r="B289" s="6" t="s">
        <v>482</v>
      </c>
      <c r="C289" s="6" t="s">
        <v>463</v>
      </c>
      <c r="D289" s="88">
        <v>1</v>
      </c>
    </row>
    <row r="290" spans="1:4" ht="15.6" x14ac:dyDescent="0.3">
      <c r="A290" s="6" t="s">
        <v>390</v>
      </c>
      <c r="B290" s="78" t="s">
        <v>634</v>
      </c>
      <c r="C290" s="78"/>
      <c r="D290" s="89">
        <v>1</v>
      </c>
    </row>
    <row r="291" spans="1:4" ht="15.6" x14ac:dyDescent="0.3">
      <c r="A291" s="6" t="s">
        <v>390</v>
      </c>
      <c r="B291" s="6" t="s">
        <v>419</v>
      </c>
      <c r="C291" s="6" t="s">
        <v>501</v>
      </c>
      <c r="D291" s="88">
        <v>1</v>
      </c>
    </row>
    <row r="292" spans="1:4" ht="15.6" x14ac:dyDescent="0.3">
      <c r="A292" s="6" t="s">
        <v>390</v>
      </c>
      <c r="B292" s="6" t="s">
        <v>419</v>
      </c>
      <c r="C292" s="6" t="s">
        <v>464</v>
      </c>
      <c r="D292" s="88">
        <v>1</v>
      </c>
    </row>
    <row r="293" spans="1:4" ht="15.6" x14ac:dyDescent="0.3">
      <c r="A293" s="6" t="s">
        <v>390</v>
      </c>
      <c r="B293" s="6" t="s">
        <v>419</v>
      </c>
      <c r="C293" s="6" t="s">
        <v>460</v>
      </c>
      <c r="D293" s="88">
        <v>1</v>
      </c>
    </row>
    <row r="294" spans="1:4" ht="15.6" x14ac:dyDescent="0.3">
      <c r="A294" s="6" t="s">
        <v>390</v>
      </c>
      <c r="B294" s="6" t="s">
        <v>419</v>
      </c>
      <c r="C294" s="6" t="s">
        <v>463</v>
      </c>
      <c r="D294" s="88">
        <v>1</v>
      </c>
    </row>
    <row r="295" spans="1:4" ht="15.6" x14ac:dyDescent="0.3">
      <c r="A295" s="6" t="s">
        <v>390</v>
      </c>
      <c r="B295" s="6" t="s">
        <v>419</v>
      </c>
      <c r="C295" s="6" t="s">
        <v>465</v>
      </c>
      <c r="D295" s="88">
        <v>1</v>
      </c>
    </row>
    <row r="296" spans="1:4" ht="15.6" x14ac:dyDescent="0.3">
      <c r="A296" s="6" t="s">
        <v>390</v>
      </c>
      <c r="B296" s="6" t="s">
        <v>419</v>
      </c>
      <c r="C296" s="6" t="s">
        <v>382</v>
      </c>
      <c r="D296" s="88">
        <v>1</v>
      </c>
    </row>
    <row r="297" spans="1:4" ht="15.6" x14ac:dyDescent="0.3">
      <c r="A297" s="6" t="s">
        <v>390</v>
      </c>
      <c r="B297" s="6" t="s">
        <v>419</v>
      </c>
      <c r="C297" s="6" t="s">
        <v>445</v>
      </c>
      <c r="D297" s="88">
        <v>1</v>
      </c>
    </row>
    <row r="298" spans="1:4" ht="15.6" x14ac:dyDescent="0.3">
      <c r="A298" s="6" t="s">
        <v>390</v>
      </c>
      <c r="B298" s="6" t="s">
        <v>419</v>
      </c>
      <c r="C298" s="6" t="s">
        <v>479</v>
      </c>
      <c r="D298" s="88">
        <v>1</v>
      </c>
    </row>
    <row r="299" spans="1:4" ht="15.6" x14ac:dyDescent="0.3">
      <c r="A299" s="6" t="s">
        <v>390</v>
      </c>
      <c r="B299" s="78" t="s">
        <v>631</v>
      </c>
      <c r="C299" s="78"/>
      <c r="D299" s="89">
        <v>8</v>
      </c>
    </row>
    <row r="300" spans="1:4" ht="15.6" x14ac:dyDescent="0.3">
      <c r="A300" s="6" t="s">
        <v>390</v>
      </c>
      <c r="B300" s="6" t="s">
        <v>424</v>
      </c>
      <c r="C300" s="6" t="s">
        <v>479</v>
      </c>
      <c r="D300" s="88">
        <v>1</v>
      </c>
    </row>
    <row r="301" spans="1:4" ht="15.6" x14ac:dyDescent="0.3">
      <c r="A301" s="6" t="s">
        <v>390</v>
      </c>
      <c r="B301" s="6" t="s">
        <v>424</v>
      </c>
      <c r="C301" s="6" t="s">
        <v>382</v>
      </c>
      <c r="D301" s="88">
        <v>1</v>
      </c>
    </row>
    <row r="302" spans="1:4" ht="15.6" x14ac:dyDescent="0.3">
      <c r="A302" s="6" t="s">
        <v>390</v>
      </c>
      <c r="B302" s="6" t="s">
        <v>424</v>
      </c>
      <c r="C302" s="6" t="s">
        <v>445</v>
      </c>
      <c r="D302" s="88">
        <v>1</v>
      </c>
    </row>
    <row r="303" spans="1:4" ht="15.6" x14ac:dyDescent="0.3">
      <c r="A303" s="6" t="s">
        <v>390</v>
      </c>
      <c r="B303" s="6" t="s">
        <v>424</v>
      </c>
      <c r="C303" s="6" t="s">
        <v>463</v>
      </c>
      <c r="D303" s="88">
        <v>1</v>
      </c>
    </row>
    <row r="304" spans="1:4" ht="15.6" x14ac:dyDescent="0.3">
      <c r="A304" s="6" t="s">
        <v>390</v>
      </c>
      <c r="B304" s="78" t="s">
        <v>629</v>
      </c>
      <c r="C304" s="78"/>
      <c r="D304" s="89">
        <v>4</v>
      </c>
    </row>
    <row r="305" spans="1:4" ht="15.6" x14ac:dyDescent="0.3">
      <c r="A305" s="6" t="s">
        <v>390</v>
      </c>
      <c r="B305" s="6" t="s">
        <v>448</v>
      </c>
      <c r="C305" s="6" t="s">
        <v>445</v>
      </c>
      <c r="D305" s="88">
        <v>1</v>
      </c>
    </row>
    <row r="306" spans="1:4" ht="15.6" x14ac:dyDescent="0.3">
      <c r="A306" s="6" t="s">
        <v>390</v>
      </c>
      <c r="B306" s="6" t="s">
        <v>448</v>
      </c>
      <c r="C306" s="6" t="s">
        <v>479</v>
      </c>
      <c r="D306" s="88">
        <v>1</v>
      </c>
    </row>
    <row r="307" spans="1:4" ht="15.6" x14ac:dyDescent="0.3">
      <c r="A307" s="6" t="s">
        <v>390</v>
      </c>
      <c r="B307" s="6" t="s">
        <v>448</v>
      </c>
      <c r="C307" s="6" t="s">
        <v>463</v>
      </c>
      <c r="D307" s="88">
        <v>1</v>
      </c>
    </row>
    <row r="308" spans="1:4" ht="15.6" x14ac:dyDescent="0.3">
      <c r="A308" s="6" t="s">
        <v>390</v>
      </c>
      <c r="B308" s="78" t="s">
        <v>643</v>
      </c>
      <c r="C308" s="78"/>
      <c r="D308" s="89">
        <v>3</v>
      </c>
    </row>
    <row r="309" spans="1:4" ht="15.6" x14ac:dyDescent="0.3">
      <c r="A309" s="6" t="s">
        <v>390</v>
      </c>
      <c r="B309" s="6" t="s">
        <v>474</v>
      </c>
      <c r="C309" s="6" t="s">
        <v>463</v>
      </c>
      <c r="D309" s="88">
        <v>1</v>
      </c>
    </row>
    <row r="310" spans="1:4" ht="15.6" x14ac:dyDescent="0.3">
      <c r="A310" s="6" t="s">
        <v>390</v>
      </c>
      <c r="B310" s="6" t="s">
        <v>474</v>
      </c>
      <c r="C310" s="6" t="s">
        <v>445</v>
      </c>
      <c r="D310" s="88">
        <v>1</v>
      </c>
    </row>
    <row r="311" spans="1:4" ht="15.6" x14ac:dyDescent="0.3">
      <c r="A311" s="6" t="s">
        <v>390</v>
      </c>
      <c r="B311" s="78" t="s">
        <v>638</v>
      </c>
      <c r="C311" s="78"/>
      <c r="D311" s="89">
        <v>2</v>
      </c>
    </row>
    <row r="312" spans="1:4" ht="15.6" x14ac:dyDescent="0.3">
      <c r="A312" s="6" t="s">
        <v>390</v>
      </c>
      <c r="B312" s="6" t="s">
        <v>483</v>
      </c>
      <c r="C312" s="6" t="s">
        <v>479</v>
      </c>
      <c r="D312" s="88">
        <v>1</v>
      </c>
    </row>
    <row r="313" spans="1:4" ht="15.6" x14ac:dyDescent="0.3">
      <c r="A313" s="6" t="s">
        <v>390</v>
      </c>
      <c r="B313" s="6" t="s">
        <v>483</v>
      </c>
      <c r="C313" s="6" t="s">
        <v>463</v>
      </c>
      <c r="D313" s="88">
        <v>1</v>
      </c>
    </row>
    <row r="314" spans="1:4" ht="15.6" x14ac:dyDescent="0.3">
      <c r="A314" s="6" t="s">
        <v>390</v>
      </c>
      <c r="B314" s="78" t="s">
        <v>639</v>
      </c>
      <c r="C314" s="78"/>
      <c r="D314" s="89">
        <v>2</v>
      </c>
    </row>
    <row r="315" spans="1:4" ht="15.6" x14ac:dyDescent="0.3">
      <c r="A315" s="6" t="s">
        <v>390</v>
      </c>
      <c r="B315" s="6" t="s">
        <v>469</v>
      </c>
      <c r="C315" s="6" t="s">
        <v>479</v>
      </c>
      <c r="D315" s="88">
        <v>1</v>
      </c>
    </row>
    <row r="316" spans="1:4" ht="15.6" x14ac:dyDescent="0.3">
      <c r="A316" s="6" t="s">
        <v>390</v>
      </c>
      <c r="B316" s="6" t="s">
        <v>469</v>
      </c>
      <c r="C316" s="6" t="s">
        <v>382</v>
      </c>
      <c r="D316" s="88">
        <v>1</v>
      </c>
    </row>
    <row r="317" spans="1:4" ht="15.6" x14ac:dyDescent="0.3">
      <c r="A317" s="6" t="s">
        <v>390</v>
      </c>
      <c r="B317" s="6" t="s">
        <v>469</v>
      </c>
      <c r="C317" s="6" t="s">
        <v>445</v>
      </c>
      <c r="D317" s="88">
        <v>1</v>
      </c>
    </row>
    <row r="318" spans="1:4" ht="15.6" x14ac:dyDescent="0.3">
      <c r="A318" s="6" t="s">
        <v>390</v>
      </c>
      <c r="B318" s="6" t="s">
        <v>469</v>
      </c>
      <c r="C318" s="6" t="s">
        <v>463</v>
      </c>
      <c r="D318" s="88">
        <v>1</v>
      </c>
    </row>
    <row r="319" spans="1:4" ht="15.6" x14ac:dyDescent="0.3">
      <c r="A319" s="6" t="s">
        <v>390</v>
      </c>
      <c r="B319" s="78" t="s">
        <v>646</v>
      </c>
      <c r="C319" s="78"/>
      <c r="D319" s="89">
        <v>4</v>
      </c>
    </row>
    <row r="320" spans="1:4" ht="15.6" x14ac:dyDescent="0.3">
      <c r="A320" s="6" t="s">
        <v>390</v>
      </c>
      <c r="B320" s="6" t="s">
        <v>409</v>
      </c>
      <c r="C320" s="6" t="s">
        <v>445</v>
      </c>
      <c r="D320" s="88">
        <v>1</v>
      </c>
    </row>
    <row r="321" spans="1:4" ht="15.6" x14ac:dyDescent="0.3">
      <c r="A321" s="6" t="s">
        <v>390</v>
      </c>
      <c r="B321" s="6" t="s">
        <v>409</v>
      </c>
      <c r="C321" s="6" t="s">
        <v>464</v>
      </c>
      <c r="D321" s="88">
        <v>1</v>
      </c>
    </row>
    <row r="322" spans="1:4" ht="15.6" x14ac:dyDescent="0.3">
      <c r="A322" s="6" t="s">
        <v>390</v>
      </c>
      <c r="B322" s="6" t="s">
        <v>409</v>
      </c>
      <c r="C322" s="6" t="s">
        <v>460</v>
      </c>
      <c r="D322" s="88">
        <v>1</v>
      </c>
    </row>
    <row r="323" spans="1:4" ht="15.6" x14ac:dyDescent="0.3">
      <c r="A323" s="6" t="s">
        <v>390</v>
      </c>
      <c r="B323" s="6" t="s">
        <v>409</v>
      </c>
      <c r="C323" s="6" t="s">
        <v>463</v>
      </c>
      <c r="D323" s="88">
        <v>1</v>
      </c>
    </row>
    <row r="324" spans="1:4" ht="15.6" x14ac:dyDescent="0.3">
      <c r="A324" s="6" t="s">
        <v>390</v>
      </c>
      <c r="B324" s="6" t="s">
        <v>409</v>
      </c>
      <c r="C324" s="6" t="s">
        <v>465</v>
      </c>
      <c r="D324" s="88">
        <v>1</v>
      </c>
    </row>
    <row r="325" spans="1:4" ht="15.6" x14ac:dyDescent="0.3">
      <c r="A325" s="6" t="s">
        <v>390</v>
      </c>
      <c r="B325" s="6" t="s">
        <v>409</v>
      </c>
      <c r="C325" s="6" t="s">
        <v>382</v>
      </c>
      <c r="D325" s="88">
        <v>1</v>
      </c>
    </row>
    <row r="326" spans="1:4" ht="15.6" x14ac:dyDescent="0.3">
      <c r="A326" s="6" t="s">
        <v>390</v>
      </c>
      <c r="B326" s="6" t="s">
        <v>409</v>
      </c>
      <c r="C326" s="6" t="s">
        <v>479</v>
      </c>
      <c r="D326" s="88">
        <v>1</v>
      </c>
    </row>
    <row r="327" spans="1:4" ht="15.6" x14ac:dyDescent="0.3">
      <c r="A327" s="6" t="s">
        <v>390</v>
      </c>
      <c r="B327" s="78" t="s">
        <v>633</v>
      </c>
      <c r="C327" s="78"/>
      <c r="D327" s="89">
        <v>7</v>
      </c>
    </row>
    <row r="328" spans="1:4" ht="15.6" x14ac:dyDescent="0.3">
      <c r="A328" s="6" t="s">
        <v>390</v>
      </c>
      <c r="B328" s="6" t="s">
        <v>480</v>
      </c>
      <c r="C328" s="6" t="s">
        <v>463</v>
      </c>
      <c r="D328" s="88">
        <v>1</v>
      </c>
    </row>
    <row r="329" spans="1:4" ht="15.6" x14ac:dyDescent="0.3">
      <c r="A329" s="6" t="s">
        <v>390</v>
      </c>
      <c r="B329" s="78" t="s">
        <v>625</v>
      </c>
      <c r="C329" s="78"/>
      <c r="D329" s="89">
        <v>1</v>
      </c>
    </row>
    <row r="330" spans="1:4" ht="15.6" x14ac:dyDescent="0.3">
      <c r="A330" s="6" t="s">
        <v>390</v>
      </c>
      <c r="B330" s="6" t="s">
        <v>508</v>
      </c>
      <c r="C330" s="6" t="s">
        <v>506</v>
      </c>
      <c r="D330" s="88">
        <v>1</v>
      </c>
    </row>
    <row r="331" spans="1:4" ht="15.6" x14ac:dyDescent="0.3">
      <c r="A331" s="6" t="s">
        <v>390</v>
      </c>
      <c r="B331" s="78" t="s">
        <v>626</v>
      </c>
      <c r="C331" s="78"/>
      <c r="D331" s="89">
        <v>1</v>
      </c>
    </row>
    <row r="332" spans="1:4" ht="15.6" x14ac:dyDescent="0.3">
      <c r="A332" s="6" t="s">
        <v>390</v>
      </c>
      <c r="B332" s="6" t="s">
        <v>447</v>
      </c>
      <c r="C332" s="6" t="s">
        <v>445</v>
      </c>
      <c r="D332" s="88">
        <v>1</v>
      </c>
    </row>
    <row r="333" spans="1:4" ht="15.6" x14ac:dyDescent="0.3">
      <c r="A333" s="6" t="s">
        <v>390</v>
      </c>
      <c r="B333" s="78" t="s">
        <v>655</v>
      </c>
      <c r="C333" s="78"/>
      <c r="D333" s="89">
        <v>1</v>
      </c>
    </row>
    <row r="334" spans="1:4" ht="15.6" x14ac:dyDescent="0.3">
      <c r="A334" s="6" t="s">
        <v>390</v>
      </c>
      <c r="B334" s="6" t="s">
        <v>407</v>
      </c>
      <c r="C334" s="6" t="s">
        <v>479</v>
      </c>
      <c r="D334" s="88">
        <v>1</v>
      </c>
    </row>
    <row r="335" spans="1:4" ht="15.6" x14ac:dyDescent="0.3">
      <c r="A335" s="6" t="s">
        <v>390</v>
      </c>
      <c r="B335" s="6" t="s">
        <v>407</v>
      </c>
      <c r="C335" s="6" t="s">
        <v>464</v>
      </c>
      <c r="D335" s="88">
        <v>1</v>
      </c>
    </row>
    <row r="336" spans="1:4" ht="15.6" x14ac:dyDescent="0.3">
      <c r="A336" s="6" t="s">
        <v>390</v>
      </c>
      <c r="B336" s="6" t="s">
        <v>407</v>
      </c>
      <c r="C336" s="6" t="s">
        <v>460</v>
      </c>
      <c r="D336" s="88">
        <v>1</v>
      </c>
    </row>
    <row r="337" spans="1:4" ht="15.6" x14ac:dyDescent="0.3">
      <c r="A337" s="6" t="s">
        <v>390</v>
      </c>
      <c r="B337" s="6" t="s">
        <v>407</v>
      </c>
      <c r="C337" s="6" t="s">
        <v>463</v>
      </c>
      <c r="D337" s="88">
        <v>1</v>
      </c>
    </row>
    <row r="338" spans="1:4" ht="15.6" x14ac:dyDescent="0.3">
      <c r="A338" s="6" t="s">
        <v>390</v>
      </c>
      <c r="B338" s="6" t="s">
        <v>407</v>
      </c>
      <c r="C338" s="6" t="s">
        <v>445</v>
      </c>
      <c r="D338" s="88">
        <v>1</v>
      </c>
    </row>
    <row r="339" spans="1:4" ht="15.6" x14ac:dyDescent="0.3">
      <c r="A339" s="6" t="s">
        <v>390</v>
      </c>
      <c r="B339" s="6" t="s">
        <v>407</v>
      </c>
      <c r="C339" s="6" t="s">
        <v>382</v>
      </c>
      <c r="D339" s="88">
        <v>1</v>
      </c>
    </row>
    <row r="340" spans="1:4" ht="15.6" x14ac:dyDescent="0.3">
      <c r="A340" s="6" t="s">
        <v>390</v>
      </c>
      <c r="B340" s="78" t="s">
        <v>630</v>
      </c>
      <c r="C340" s="78"/>
      <c r="D340" s="89">
        <v>6</v>
      </c>
    </row>
    <row r="341" spans="1:4" ht="15.6" x14ac:dyDescent="0.3">
      <c r="A341" s="6" t="s">
        <v>390</v>
      </c>
      <c r="B341" s="6" t="s">
        <v>453</v>
      </c>
      <c r="C341" s="6" t="s">
        <v>479</v>
      </c>
      <c r="D341" s="88">
        <v>1</v>
      </c>
    </row>
    <row r="342" spans="1:4" ht="15.6" x14ac:dyDescent="0.3">
      <c r="A342" s="6" t="s">
        <v>390</v>
      </c>
      <c r="B342" s="6" t="s">
        <v>453</v>
      </c>
      <c r="C342" s="6" t="s">
        <v>382</v>
      </c>
      <c r="D342" s="88">
        <v>1</v>
      </c>
    </row>
    <row r="343" spans="1:4" ht="15.6" x14ac:dyDescent="0.3">
      <c r="A343" s="6" t="s">
        <v>390</v>
      </c>
      <c r="B343" s="6" t="s">
        <v>453</v>
      </c>
      <c r="C343" s="6" t="s">
        <v>445</v>
      </c>
      <c r="D343" s="88">
        <v>1</v>
      </c>
    </row>
    <row r="344" spans="1:4" ht="15.6" x14ac:dyDescent="0.3">
      <c r="A344" s="6" t="s">
        <v>390</v>
      </c>
      <c r="B344" s="6" t="s">
        <v>453</v>
      </c>
      <c r="C344" s="6" t="s">
        <v>463</v>
      </c>
      <c r="D344" s="88">
        <v>1</v>
      </c>
    </row>
    <row r="345" spans="1:4" ht="15.6" x14ac:dyDescent="0.3">
      <c r="A345" s="6" t="s">
        <v>390</v>
      </c>
      <c r="B345" s="78" t="s">
        <v>641</v>
      </c>
      <c r="C345" s="78"/>
      <c r="D345" s="89">
        <v>4</v>
      </c>
    </row>
    <row r="346" spans="1:4" ht="15.6" x14ac:dyDescent="0.3">
      <c r="A346" s="6" t="s">
        <v>390</v>
      </c>
      <c r="B346" s="6" t="s">
        <v>425</v>
      </c>
      <c r="C346" s="6" t="s">
        <v>479</v>
      </c>
      <c r="D346" s="88">
        <v>1</v>
      </c>
    </row>
    <row r="347" spans="1:4" ht="15.6" x14ac:dyDescent="0.3">
      <c r="A347" s="6" t="s">
        <v>390</v>
      </c>
      <c r="B347" s="6" t="s">
        <v>425</v>
      </c>
      <c r="C347" s="6" t="s">
        <v>465</v>
      </c>
      <c r="D347" s="88">
        <v>1</v>
      </c>
    </row>
    <row r="348" spans="1:4" ht="15.6" x14ac:dyDescent="0.3">
      <c r="A348" s="6" t="s">
        <v>390</v>
      </c>
      <c r="B348" s="6" t="s">
        <v>425</v>
      </c>
      <c r="C348" s="6" t="s">
        <v>464</v>
      </c>
      <c r="D348" s="88">
        <v>1</v>
      </c>
    </row>
    <row r="349" spans="1:4" ht="15.6" x14ac:dyDescent="0.3">
      <c r="A349" s="6" t="s">
        <v>390</v>
      </c>
      <c r="B349" s="6" t="s">
        <v>425</v>
      </c>
      <c r="C349" s="6" t="s">
        <v>463</v>
      </c>
      <c r="D349" s="88">
        <v>1</v>
      </c>
    </row>
    <row r="350" spans="1:4" ht="15.6" x14ac:dyDescent="0.3">
      <c r="A350" s="6" t="s">
        <v>390</v>
      </c>
      <c r="B350" s="6" t="s">
        <v>425</v>
      </c>
      <c r="C350" s="6" t="s">
        <v>445</v>
      </c>
      <c r="D350" s="88">
        <v>1</v>
      </c>
    </row>
    <row r="351" spans="1:4" ht="15.6" x14ac:dyDescent="0.3">
      <c r="A351" s="6" t="s">
        <v>390</v>
      </c>
      <c r="B351" s="6" t="s">
        <v>425</v>
      </c>
      <c r="C351" s="6" t="s">
        <v>382</v>
      </c>
      <c r="D351" s="88">
        <v>1</v>
      </c>
    </row>
    <row r="352" spans="1:4" ht="15.6" x14ac:dyDescent="0.3">
      <c r="A352" s="6" t="s">
        <v>390</v>
      </c>
      <c r="B352" s="78" t="s">
        <v>648</v>
      </c>
      <c r="C352" s="78"/>
      <c r="D352" s="89">
        <v>6</v>
      </c>
    </row>
    <row r="353" spans="1:4" ht="15.6" x14ac:dyDescent="0.3">
      <c r="A353" s="6" t="s">
        <v>390</v>
      </c>
      <c r="B353" s="6" t="s">
        <v>420</v>
      </c>
      <c r="C353" s="6" t="s">
        <v>479</v>
      </c>
      <c r="D353" s="88">
        <v>1</v>
      </c>
    </row>
    <row r="354" spans="1:4" ht="15.6" x14ac:dyDescent="0.3">
      <c r="A354" s="6" t="s">
        <v>390</v>
      </c>
      <c r="B354" s="6" t="s">
        <v>420</v>
      </c>
      <c r="C354" s="6" t="s">
        <v>506</v>
      </c>
      <c r="D354" s="88">
        <v>1</v>
      </c>
    </row>
    <row r="355" spans="1:4" ht="15.6" x14ac:dyDescent="0.3">
      <c r="A355" s="6" t="s">
        <v>390</v>
      </c>
      <c r="B355" s="6" t="s">
        <v>420</v>
      </c>
      <c r="C355" s="6" t="s">
        <v>460</v>
      </c>
      <c r="D355" s="88">
        <v>1</v>
      </c>
    </row>
    <row r="356" spans="1:4" ht="15.6" x14ac:dyDescent="0.3">
      <c r="A356" s="6" t="s">
        <v>390</v>
      </c>
      <c r="B356" s="6" t="s">
        <v>420</v>
      </c>
      <c r="C356" s="6" t="s">
        <v>463</v>
      </c>
      <c r="D356" s="88">
        <v>1</v>
      </c>
    </row>
    <row r="357" spans="1:4" ht="15.6" x14ac:dyDescent="0.3">
      <c r="A357" s="6" t="s">
        <v>390</v>
      </c>
      <c r="B357" s="6" t="s">
        <v>420</v>
      </c>
      <c r="C357" s="6" t="s">
        <v>445</v>
      </c>
      <c r="D357" s="88">
        <v>1</v>
      </c>
    </row>
    <row r="358" spans="1:4" ht="15.6" x14ac:dyDescent="0.3">
      <c r="A358" s="6" t="s">
        <v>390</v>
      </c>
      <c r="B358" s="6" t="s">
        <v>420</v>
      </c>
      <c r="C358" s="6" t="s">
        <v>382</v>
      </c>
      <c r="D358" s="88">
        <v>1</v>
      </c>
    </row>
    <row r="359" spans="1:4" ht="15.6" x14ac:dyDescent="0.3">
      <c r="A359" s="6" t="s">
        <v>390</v>
      </c>
      <c r="B359" s="78" t="s">
        <v>652</v>
      </c>
      <c r="C359" s="78"/>
      <c r="D359" s="89">
        <v>6</v>
      </c>
    </row>
    <row r="360" spans="1:4" ht="15.6" x14ac:dyDescent="0.3">
      <c r="A360" s="6" t="s">
        <v>390</v>
      </c>
      <c r="B360" s="6" t="s">
        <v>472</v>
      </c>
      <c r="C360" s="6" t="s">
        <v>445</v>
      </c>
      <c r="D360" s="88">
        <v>1</v>
      </c>
    </row>
    <row r="361" spans="1:4" ht="15.6" x14ac:dyDescent="0.3">
      <c r="A361" s="6" t="s">
        <v>390</v>
      </c>
      <c r="B361" s="6" t="s">
        <v>472</v>
      </c>
      <c r="C361" s="6" t="s">
        <v>479</v>
      </c>
      <c r="D361" s="88">
        <v>1</v>
      </c>
    </row>
    <row r="362" spans="1:4" ht="15.6" x14ac:dyDescent="0.3">
      <c r="A362" s="6" t="s">
        <v>390</v>
      </c>
      <c r="B362" s="6" t="s">
        <v>472</v>
      </c>
      <c r="C362" s="6" t="s">
        <v>463</v>
      </c>
      <c r="D362" s="88">
        <v>1</v>
      </c>
    </row>
    <row r="363" spans="1:4" ht="15.6" x14ac:dyDescent="0.3">
      <c r="A363" s="6" t="s">
        <v>390</v>
      </c>
      <c r="B363" s="78" t="s">
        <v>653</v>
      </c>
      <c r="C363" s="78"/>
      <c r="D363" s="89">
        <v>3</v>
      </c>
    </row>
    <row r="364" spans="1:4" ht="15.6" x14ac:dyDescent="0.3">
      <c r="A364" s="6" t="s">
        <v>390</v>
      </c>
      <c r="B364" s="6" t="s">
        <v>422</v>
      </c>
      <c r="C364" s="6" t="s">
        <v>382</v>
      </c>
      <c r="D364" s="88">
        <v>1</v>
      </c>
    </row>
    <row r="365" spans="1:4" ht="15.6" x14ac:dyDescent="0.3">
      <c r="A365" s="6" t="s">
        <v>390</v>
      </c>
      <c r="B365" s="6" t="s">
        <v>422</v>
      </c>
      <c r="C365" s="6" t="s">
        <v>445</v>
      </c>
      <c r="D365" s="88">
        <v>1</v>
      </c>
    </row>
    <row r="366" spans="1:4" ht="15.6" x14ac:dyDescent="0.3">
      <c r="A366" s="6" t="s">
        <v>390</v>
      </c>
      <c r="B366" s="78" t="s">
        <v>647</v>
      </c>
      <c r="C366" s="78"/>
      <c r="D366" s="89">
        <v>2</v>
      </c>
    </row>
    <row r="367" spans="1:4" ht="15.6" x14ac:dyDescent="0.3">
      <c r="A367" s="6" t="s">
        <v>390</v>
      </c>
      <c r="B367" s="6" t="s">
        <v>475</v>
      </c>
      <c r="C367" s="6" t="s">
        <v>445</v>
      </c>
      <c r="D367" s="88">
        <v>1</v>
      </c>
    </row>
    <row r="368" spans="1:4" ht="15.6" x14ac:dyDescent="0.3">
      <c r="A368" s="6" t="s">
        <v>390</v>
      </c>
      <c r="B368" s="78" t="s">
        <v>624</v>
      </c>
      <c r="C368" s="78"/>
      <c r="D368" s="89">
        <v>1</v>
      </c>
    </row>
    <row r="369" spans="1:4" ht="15.6" x14ac:dyDescent="0.3">
      <c r="A369" s="6" t="s">
        <v>390</v>
      </c>
      <c r="B369" s="6" t="s">
        <v>471</v>
      </c>
      <c r="C369" s="6" t="s">
        <v>445</v>
      </c>
      <c r="D369" s="88">
        <v>1</v>
      </c>
    </row>
    <row r="370" spans="1:4" ht="15.6" x14ac:dyDescent="0.3">
      <c r="A370" s="6" t="s">
        <v>390</v>
      </c>
      <c r="B370" s="6" t="s">
        <v>471</v>
      </c>
      <c r="C370" s="6" t="s">
        <v>479</v>
      </c>
      <c r="D370" s="88">
        <v>1</v>
      </c>
    </row>
    <row r="371" spans="1:4" ht="15.6" x14ac:dyDescent="0.3">
      <c r="A371" s="6" t="s">
        <v>390</v>
      </c>
      <c r="B371" s="6" t="s">
        <v>471</v>
      </c>
      <c r="C371" s="6" t="s">
        <v>463</v>
      </c>
      <c r="D371" s="88">
        <v>1</v>
      </c>
    </row>
    <row r="372" spans="1:4" ht="15.6" x14ac:dyDescent="0.3">
      <c r="A372" s="6" t="s">
        <v>390</v>
      </c>
      <c r="B372" s="78" t="s">
        <v>649</v>
      </c>
      <c r="C372" s="78"/>
      <c r="D372" s="89">
        <v>3</v>
      </c>
    </row>
    <row r="373" spans="1:4" ht="15.6" x14ac:dyDescent="0.3">
      <c r="A373" s="6" t="s">
        <v>390</v>
      </c>
      <c r="B373" s="6" t="s">
        <v>499</v>
      </c>
      <c r="C373" s="6" t="s">
        <v>382</v>
      </c>
      <c r="D373" s="88">
        <v>1</v>
      </c>
    </row>
    <row r="374" spans="1:4" ht="15.6" x14ac:dyDescent="0.3">
      <c r="A374" s="6" t="s">
        <v>390</v>
      </c>
      <c r="B374" s="78" t="s">
        <v>650</v>
      </c>
      <c r="C374" s="78"/>
      <c r="D374" s="89">
        <v>1</v>
      </c>
    </row>
    <row r="375" spans="1:4" ht="15.6" x14ac:dyDescent="0.3">
      <c r="A375" s="6" t="s">
        <v>390</v>
      </c>
      <c r="B375" s="6" t="s">
        <v>476</v>
      </c>
      <c r="C375" s="6" t="s">
        <v>479</v>
      </c>
      <c r="D375" s="88">
        <v>1</v>
      </c>
    </row>
    <row r="376" spans="1:4" ht="15.6" x14ac:dyDescent="0.3">
      <c r="A376" s="6" t="s">
        <v>390</v>
      </c>
      <c r="B376" s="6" t="s">
        <v>476</v>
      </c>
      <c r="C376" s="6" t="s">
        <v>382</v>
      </c>
      <c r="D376" s="88">
        <v>1</v>
      </c>
    </row>
    <row r="377" spans="1:4" ht="15.6" x14ac:dyDescent="0.3">
      <c r="A377" s="6" t="s">
        <v>390</v>
      </c>
      <c r="B377" s="6" t="s">
        <v>476</v>
      </c>
      <c r="C377" s="6" t="s">
        <v>445</v>
      </c>
      <c r="D377" s="88">
        <v>1</v>
      </c>
    </row>
    <row r="378" spans="1:4" ht="15.6" x14ac:dyDescent="0.3">
      <c r="A378" s="6" t="s">
        <v>390</v>
      </c>
      <c r="B378" s="6" t="s">
        <v>476</v>
      </c>
      <c r="C378" s="6" t="s">
        <v>463</v>
      </c>
      <c r="D378" s="88">
        <v>1</v>
      </c>
    </row>
    <row r="379" spans="1:4" ht="15.6" x14ac:dyDescent="0.3">
      <c r="A379" s="6" t="s">
        <v>390</v>
      </c>
      <c r="B379" s="78" t="s">
        <v>636</v>
      </c>
      <c r="C379" s="78"/>
      <c r="D379" s="89">
        <v>4</v>
      </c>
    </row>
    <row r="380" spans="1:4" ht="15.6" x14ac:dyDescent="0.3">
      <c r="A380" s="6" t="s">
        <v>390</v>
      </c>
      <c r="B380" s="6" t="s">
        <v>426</v>
      </c>
      <c r="C380" s="6" t="s">
        <v>479</v>
      </c>
      <c r="D380" s="88">
        <v>1</v>
      </c>
    </row>
    <row r="381" spans="1:4" ht="15.6" x14ac:dyDescent="0.3">
      <c r="A381" s="6" t="s">
        <v>390</v>
      </c>
      <c r="B381" s="6" t="s">
        <v>426</v>
      </c>
      <c r="C381" s="6" t="s">
        <v>382</v>
      </c>
      <c r="D381" s="88">
        <v>1</v>
      </c>
    </row>
    <row r="382" spans="1:4" ht="15.6" x14ac:dyDescent="0.3">
      <c r="A382" s="6" t="s">
        <v>390</v>
      </c>
      <c r="B382" s="6" t="s">
        <v>426</v>
      </c>
      <c r="C382" s="6" t="s">
        <v>445</v>
      </c>
      <c r="D382" s="88">
        <v>1</v>
      </c>
    </row>
    <row r="383" spans="1:4" ht="15.6" x14ac:dyDescent="0.3">
      <c r="A383" s="6" t="s">
        <v>390</v>
      </c>
      <c r="B383" s="6" t="s">
        <v>426</v>
      </c>
      <c r="C383" s="6" t="s">
        <v>463</v>
      </c>
      <c r="D383" s="88">
        <v>1</v>
      </c>
    </row>
    <row r="384" spans="1:4" ht="15.6" x14ac:dyDescent="0.3">
      <c r="A384" s="6" t="s">
        <v>390</v>
      </c>
      <c r="B384" s="78" t="s">
        <v>645</v>
      </c>
      <c r="C384" s="78"/>
      <c r="D384" s="89">
        <v>4</v>
      </c>
    </row>
    <row r="385" spans="1:4" ht="15.6" x14ac:dyDescent="0.3">
      <c r="A385" s="6" t="s">
        <v>390</v>
      </c>
      <c r="B385" s="6" t="s">
        <v>446</v>
      </c>
      <c r="C385" s="6" t="s">
        <v>382</v>
      </c>
      <c r="D385" s="88">
        <v>1</v>
      </c>
    </row>
    <row r="386" spans="1:4" ht="15.6" x14ac:dyDescent="0.3">
      <c r="A386" s="6" t="s">
        <v>390</v>
      </c>
      <c r="B386" s="6" t="s">
        <v>446</v>
      </c>
      <c r="C386" s="6" t="s">
        <v>445</v>
      </c>
      <c r="D386" s="88">
        <v>1</v>
      </c>
    </row>
    <row r="387" spans="1:4" ht="15.6" x14ac:dyDescent="0.3">
      <c r="A387" s="6" t="s">
        <v>390</v>
      </c>
      <c r="B387" s="78" t="s">
        <v>632</v>
      </c>
      <c r="C387" s="78"/>
      <c r="D387" s="89">
        <v>2</v>
      </c>
    </row>
    <row r="388" spans="1:4" ht="15.6" x14ac:dyDescent="0.3">
      <c r="A388" s="6" t="s">
        <v>390</v>
      </c>
      <c r="B388" s="6" t="s">
        <v>410</v>
      </c>
      <c r="C388" s="6" t="s">
        <v>479</v>
      </c>
      <c r="D388" s="88">
        <v>1</v>
      </c>
    </row>
    <row r="389" spans="1:4" ht="15.6" x14ac:dyDescent="0.3">
      <c r="A389" s="6" t="s">
        <v>390</v>
      </c>
      <c r="B389" s="6" t="s">
        <v>410</v>
      </c>
      <c r="C389" s="6" t="s">
        <v>465</v>
      </c>
      <c r="D389" s="88">
        <v>1</v>
      </c>
    </row>
    <row r="390" spans="1:4" ht="15.6" x14ac:dyDescent="0.3">
      <c r="A390" s="6" t="s">
        <v>390</v>
      </c>
      <c r="B390" s="6" t="s">
        <v>410</v>
      </c>
      <c r="C390" s="6" t="s">
        <v>460</v>
      </c>
      <c r="D390" s="88">
        <v>1</v>
      </c>
    </row>
    <row r="391" spans="1:4" ht="15.6" x14ac:dyDescent="0.3">
      <c r="A391" s="6" t="s">
        <v>390</v>
      </c>
      <c r="B391" s="6" t="s">
        <v>410</v>
      </c>
      <c r="C391" s="6" t="s">
        <v>463</v>
      </c>
      <c r="D391" s="88">
        <v>1</v>
      </c>
    </row>
    <row r="392" spans="1:4" ht="15.6" x14ac:dyDescent="0.3">
      <c r="A392" s="6" t="s">
        <v>390</v>
      </c>
      <c r="B392" s="6" t="s">
        <v>410</v>
      </c>
      <c r="C392" s="6" t="s">
        <v>445</v>
      </c>
      <c r="D392" s="88">
        <v>1</v>
      </c>
    </row>
    <row r="393" spans="1:4" ht="15.6" x14ac:dyDescent="0.3">
      <c r="A393" s="6" t="s">
        <v>390</v>
      </c>
      <c r="B393" s="6" t="s">
        <v>410</v>
      </c>
      <c r="C393" s="6" t="s">
        <v>382</v>
      </c>
      <c r="D393" s="88">
        <v>1</v>
      </c>
    </row>
    <row r="394" spans="1:4" ht="15.6" x14ac:dyDescent="0.3">
      <c r="A394" s="6" t="s">
        <v>390</v>
      </c>
      <c r="B394" s="78" t="s">
        <v>637</v>
      </c>
      <c r="C394" s="78"/>
      <c r="D394" s="89">
        <v>6</v>
      </c>
    </row>
    <row r="395" spans="1:4" ht="15.6" x14ac:dyDescent="0.3">
      <c r="A395" s="6" t="s">
        <v>390</v>
      </c>
      <c r="B395" s="6" t="s">
        <v>421</v>
      </c>
      <c r="C395" s="6" t="s">
        <v>479</v>
      </c>
      <c r="D395" s="88">
        <v>1</v>
      </c>
    </row>
    <row r="396" spans="1:4" ht="15.6" x14ac:dyDescent="0.3">
      <c r="A396" s="6" t="s">
        <v>390</v>
      </c>
      <c r="B396" s="6" t="s">
        <v>421</v>
      </c>
      <c r="C396" s="6" t="s">
        <v>464</v>
      </c>
      <c r="D396" s="88">
        <v>1</v>
      </c>
    </row>
    <row r="397" spans="1:4" ht="15.6" x14ac:dyDescent="0.3">
      <c r="A397" s="6" t="s">
        <v>390</v>
      </c>
      <c r="B397" s="6" t="s">
        <v>421</v>
      </c>
      <c r="C397" s="6" t="s">
        <v>460</v>
      </c>
      <c r="D397" s="88">
        <v>1</v>
      </c>
    </row>
    <row r="398" spans="1:4" ht="15.6" x14ac:dyDescent="0.3">
      <c r="A398" s="6" t="s">
        <v>390</v>
      </c>
      <c r="B398" s="6" t="s">
        <v>421</v>
      </c>
      <c r="C398" s="6" t="s">
        <v>463</v>
      </c>
      <c r="D398" s="88">
        <v>1</v>
      </c>
    </row>
    <row r="399" spans="1:4" ht="15.6" x14ac:dyDescent="0.3">
      <c r="A399" s="6" t="s">
        <v>390</v>
      </c>
      <c r="B399" s="6" t="s">
        <v>421</v>
      </c>
      <c r="C399" s="6" t="s">
        <v>445</v>
      </c>
      <c r="D399" s="88">
        <v>1</v>
      </c>
    </row>
    <row r="400" spans="1:4" ht="15.6" x14ac:dyDescent="0.3">
      <c r="A400" s="6" t="s">
        <v>390</v>
      </c>
      <c r="B400" s="6" t="s">
        <v>421</v>
      </c>
      <c r="C400" s="6" t="s">
        <v>382</v>
      </c>
      <c r="D400" s="88">
        <v>1</v>
      </c>
    </row>
    <row r="401" spans="1:4" ht="15.6" x14ac:dyDescent="0.3">
      <c r="A401" s="6" t="s">
        <v>390</v>
      </c>
      <c r="B401" s="78" t="s">
        <v>628</v>
      </c>
      <c r="C401" s="78"/>
      <c r="D401" s="89">
        <v>6</v>
      </c>
    </row>
    <row r="402" spans="1:4" ht="15.6" x14ac:dyDescent="0.3">
      <c r="A402" s="79" t="s">
        <v>739</v>
      </c>
      <c r="B402" s="79"/>
      <c r="C402" s="79"/>
      <c r="D402" s="90">
        <v>120</v>
      </c>
    </row>
    <row r="403" spans="1:4" ht="15.6" x14ac:dyDescent="0.3">
      <c r="A403" s="6" t="s">
        <v>385</v>
      </c>
      <c r="B403" s="6" t="s">
        <v>444</v>
      </c>
      <c r="C403" s="6" t="s">
        <v>464</v>
      </c>
      <c r="D403" s="88">
        <v>1</v>
      </c>
    </row>
    <row r="404" spans="1:4" ht="15.6" x14ac:dyDescent="0.3">
      <c r="A404" s="6" t="s">
        <v>385</v>
      </c>
      <c r="B404" s="6" t="s">
        <v>444</v>
      </c>
      <c r="C404" s="6" t="s">
        <v>445</v>
      </c>
      <c r="D404" s="88">
        <v>1</v>
      </c>
    </row>
    <row r="405" spans="1:4" ht="15.6" x14ac:dyDescent="0.3">
      <c r="A405" s="6" t="s">
        <v>385</v>
      </c>
      <c r="B405" s="6" t="s">
        <v>444</v>
      </c>
      <c r="C405" s="6" t="s">
        <v>465</v>
      </c>
      <c r="D405" s="88">
        <v>1</v>
      </c>
    </row>
    <row r="406" spans="1:4" ht="15.6" x14ac:dyDescent="0.3">
      <c r="A406" s="6" t="s">
        <v>385</v>
      </c>
      <c r="B406" s="6" t="s">
        <v>444</v>
      </c>
      <c r="C406" s="6" t="s">
        <v>463</v>
      </c>
      <c r="D406" s="88">
        <v>1</v>
      </c>
    </row>
    <row r="407" spans="1:4" ht="15.6" x14ac:dyDescent="0.3">
      <c r="A407" s="6" t="s">
        <v>385</v>
      </c>
      <c r="B407" s="6" t="s">
        <v>444</v>
      </c>
      <c r="C407" s="6" t="s">
        <v>479</v>
      </c>
      <c r="D407" s="88">
        <v>1</v>
      </c>
    </row>
    <row r="408" spans="1:4" ht="15.6" x14ac:dyDescent="0.3">
      <c r="A408" s="6" t="s">
        <v>385</v>
      </c>
      <c r="B408" s="78" t="s">
        <v>676</v>
      </c>
      <c r="C408" s="78"/>
      <c r="D408" s="89">
        <v>5</v>
      </c>
    </row>
    <row r="409" spans="1:4" ht="15.6" x14ac:dyDescent="0.3">
      <c r="A409" s="6" t="s">
        <v>385</v>
      </c>
      <c r="B409" s="6" t="s">
        <v>440</v>
      </c>
      <c r="C409" s="6" t="s">
        <v>382</v>
      </c>
      <c r="D409" s="88">
        <v>1</v>
      </c>
    </row>
    <row r="410" spans="1:4" ht="15.6" x14ac:dyDescent="0.3">
      <c r="A410" s="6" t="s">
        <v>385</v>
      </c>
      <c r="B410" s="78" t="s">
        <v>674</v>
      </c>
      <c r="C410" s="78"/>
      <c r="D410" s="89">
        <v>1</v>
      </c>
    </row>
    <row r="411" spans="1:4" ht="15.6" x14ac:dyDescent="0.3">
      <c r="A411" s="6" t="s">
        <v>385</v>
      </c>
      <c r="B411" s="6" t="s">
        <v>486</v>
      </c>
      <c r="C411" s="6" t="s">
        <v>463</v>
      </c>
      <c r="D411" s="88">
        <v>1</v>
      </c>
    </row>
    <row r="412" spans="1:4" ht="15.6" x14ac:dyDescent="0.3">
      <c r="A412" s="6" t="s">
        <v>385</v>
      </c>
      <c r="B412" s="78" t="s">
        <v>673</v>
      </c>
      <c r="C412" s="78"/>
      <c r="D412" s="89">
        <v>1</v>
      </c>
    </row>
    <row r="413" spans="1:4" ht="15.6" x14ac:dyDescent="0.3">
      <c r="A413" s="6" t="s">
        <v>385</v>
      </c>
      <c r="B413" s="6" t="s">
        <v>437</v>
      </c>
      <c r="C413" s="6" t="s">
        <v>479</v>
      </c>
      <c r="D413" s="88">
        <v>1</v>
      </c>
    </row>
    <row r="414" spans="1:4" ht="15.6" x14ac:dyDescent="0.3">
      <c r="A414" s="6" t="s">
        <v>385</v>
      </c>
      <c r="B414" s="6" t="s">
        <v>437</v>
      </c>
      <c r="C414" s="6" t="s">
        <v>382</v>
      </c>
      <c r="D414" s="88">
        <v>1</v>
      </c>
    </row>
    <row r="415" spans="1:4" ht="15.6" x14ac:dyDescent="0.3">
      <c r="A415" s="6" t="s">
        <v>385</v>
      </c>
      <c r="B415" s="6" t="s">
        <v>437</v>
      </c>
      <c r="C415" s="6" t="s">
        <v>445</v>
      </c>
      <c r="D415" s="88">
        <v>1</v>
      </c>
    </row>
    <row r="416" spans="1:4" ht="15.6" x14ac:dyDescent="0.3">
      <c r="A416" s="6" t="s">
        <v>385</v>
      </c>
      <c r="B416" s="6" t="s">
        <v>437</v>
      </c>
      <c r="C416" s="6" t="s">
        <v>463</v>
      </c>
      <c r="D416" s="88">
        <v>1</v>
      </c>
    </row>
    <row r="417" spans="1:4" ht="15.6" x14ac:dyDescent="0.3">
      <c r="A417" s="6" t="s">
        <v>385</v>
      </c>
      <c r="B417" s="78" t="s">
        <v>678</v>
      </c>
      <c r="C417" s="78"/>
      <c r="D417" s="89">
        <v>4</v>
      </c>
    </row>
    <row r="418" spans="1:4" ht="15.6" x14ac:dyDescent="0.3">
      <c r="A418" s="6" t="s">
        <v>385</v>
      </c>
      <c r="B418" s="6" t="s">
        <v>455</v>
      </c>
      <c r="C418" s="6" t="s">
        <v>463</v>
      </c>
      <c r="D418" s="88">
        <v>1</v>
      </c>
    </row>
    <row r="419" spans="1:4" ht="15.6" x14ac:dyDescent="0.3">
      <c r="A419" s="6" t="s">
        <v>385</v>
      </c>
      <c r="B419" s="6" t="s">
        <v>455</v>
      </c>
      <c r="C419" s="6" t="s">
        <v>445</v>
      </c>
      <c r="D419" s="88">
        <v>1</v>
      </c>
    </row>
    <row r="420" spans="1:4" ht="15.6" x14ac:dyDescent="0.3">
      <c r="A420" s="6" t="s">
        <v>385</v>
      </c>
      <c r="B420" s="78" t="s">
        <v>668</v>
      </c>
      <c r="C420" s="78"/>
      <c r="D420" s="89">
        <v>2</v>
      </c>
    </row>
    <row r="421" spans="1:4" ht="15.6" x14ac:dyDescent="0.3">
      <c r="A421" s="6" t="s">
        <v>385</v>
      </c>
      <c r="B421" s="6" t="s">
        <v>498</v>
      </c>
      <c r="C421" s="6" t="s">
        <v>382</v>
      </c>
      <c r="D421" s="88">
        <v>1</v>
      </c>
    </row>
    <row r="422" spans="1:4" ht="15.6" x14ac:dyDescent="0.3">
      <c r="A422" s="6" t="s">
        <v>385</v>
      </c>
      <c r="B422" s="6" t="s">
        <v>498</v>
      </c>
      <c r="C422" s="6" t="s">
        <v>445</v>
      </c>
      <c r="D422" s="88">
        <v>1</v>
      </c>
    </row>
    <row r="423" spans="1:4" ht="15.6" x14ac:dyDescent="0.3">
      <c r="A423" s="6" t="s">
        <v>385</v>
      </c>
      <c r="B423" s="78" t="s">
        <v>672</v>
      </c>
      <c r="C423" s="78"/>
      <c r="D423" s="89">
        <v>2</v>
      </c>
    </row>
    <row r="424" spans="1:4" ht="15.6" x14ac:dyDescent="0.3">
      <c r="A424" s="6" t="s">
        <v>385</v>
      </c>
      <c r="B424" s="6" t="s">
        <v>503</v>
      </c>
      <c r="C424" s="6" t="s">
        <v>502</v>
      </c>
      <c r="D424" s="88">
        <v>1</v>
      </c>
    </row>
    <row r="425" spans="1:4" ht="15.6" x14ac:dyDescent="0.3">
      <c r="A425" s="6" t="s">
        <v>385</v>
      </c>
      <c r="B425" s="6" t="s">
        <v>503</v>
      </c>
      <c r="C425" s="6" t="s">
        <v>506</v>
      </c>
      <c r="D425" s="88">
        <v>1</v>
      </c>
    </row>
    <row r="426" spans="1:4" ht="15.6" x14ac:dyDescent="0.3">
      <c r="A426" s="6" t="s">
        <v>385</v>
      </c>
      <c r="B426" s="6" t="s">
        <v>503</v>
      </c>
      <c r="C426" s="6" t="s">
        <v>505</v>
      </c>
      <c r="D426" s="88">
        <v>1</v>
      </c>
    </row>
    <row r="427" spans="1:4" ht="15.6" x14ac:dyDescent="0.3">
      <c r="A427" s="6" t="s">
        <v>385</v>
      </c>
      <c r="B427" s="78" t="s">
        <v>657</v>
      </c>
      <c r="C427" s="78"/>
      <c r="D427" s="89">
        <v>3</v>
      </c>
    </row>
    <row r="428" spans="1:4" ht="15.6" x14ac:dyDescent="0.3">
      <c r="A428" s="6" t="s">
        <v>385</v>
      </c>
      <c r="B428" s="6" t="s">
        <v>467</v>
      </c>
      <c r="C428" s="6" t="s">
        <v>481</v>
      </c>
      <c r="D428" s="88">
        <v>1</v>
      </c>
    </row>
    <row r="429" spans="1:4" ht="15.6" x14ac:dyDescent="0.3">
      <c r="A429" s="6" t="s">
        <v>385</v>
      </c>
      <c r="B429" s="6" t="s">
        <v>467</v>
      </c>
      <c r="C429" s="6" t="s">
        <v>464</v>
      </c>
      <c r="D429" s="88">
        <v>1</v>
      </c>
    </row>
    <row r="430" spans="1:4" ht="15.6" x14ac:dyDescent="0.3">
      <c r="A430" s="6" t="s">
        <v>385</v>
      </c>
      <c r="B430" s="6" t="s">
        <v>467</v>
      </c>
      <c r="C430" s="6" t="s">
        <v>501</v>
      </c>
      <c r="D430" s="88">
        <v>1</v>
      </c>
    </row>
    <row r="431" spans="1:4" ht="15.6" x14ac:dyDescent="0.3">
      <c r="A431" s="6" t="s">
        <v>385</v>
      </c>
      <c r="B431" s="6" t="s">
        <v>467</v>
      </c>
      <c r="C431" s="6" t="s">
        <v>463</v>
      </c>
      <c r="D431" s="88">
        <v>1</v>
      </c>
    </row>
    <row r="432" spans="1:4" ht="15.6" x14ac:dyDescent="0.3">
      <c r="A432" s="6" t="s">
        <v>385</v>
      </c>
      <c r="B432" s="6" t="s">
        <v>467</v>
      </c>
      <c r="C432" s="6" t="s">
        <v>465</v>
      </c>
      <c r="D432" s="88">
        <v>1</v>
      </c>
    </row>
    <row r="433" spans="1:4" ht="15.6" x14ac:dyDescent="0.3">
      <c r="A433" s="6" t="s">
        <v>385</v>
      </c>
      <c r="B433" s="6" t="s">
        <v>467</v>
      </c>
      <c r="C433" s="6" t="s">
        <v>382</v>
      </c>
      <c r="D433" s="88">
        <v>1</v>
      </c>
    </row>
    <row r="434" spans="1:4" ht="15.6" x14ac:dyDescent="0.3">
      <c r="A434" s="6" t="s">
        <v>385</v>
      </c>
      <c r="B434" s="6" t="s">
        <v>467</v>
      </c>
      <c r="C434" s="6" t="s">
        <v>500</v>
      </c>
      <c r="D434" s="88">
        <v>1</v>
      </c>
    </row>
    <row r="435" spans="1:4" ht="15.6" x14ac:dyDescent="0.3">
      <c r="A435" s="6" t="s">
        <v>385</v>
      </c>
      <c r="B435" s="6" t="s">
        <v>467</v>
      </c>
      <c r="C435" s="6" t="s">
        <v>479</v>
      </c>
      <c r="D435" s="88">
        <v>1</v>
      </c>
    </row>
    <row r="436" spans="1:4" ht="15.6" x14ac:dyDescent="0.3">
      <c r="A436" s="6" t="s">
        <v>385</v>
      </c>
      <c r="B436" s="6" t="s">
        <v>467</v>
      </c>
      <c r="C436" s="6" t="s">
        <v>445</v>
      </c>
      <c r="D436" s="88">
        <v>1</v>
      </c>
    </row>
    <row r="437" spans="1:4" ht="15.6" x14ac:dyDescent="0.3">
      <c r="A437" s="6" t="s">
        <v>385</v>
      </c>
      <c r="B437" s="6" t="s">
        <v>467</v>
      </c>
      <c r="C437" s="6" t="s">
        <v>460</v>
      </c>
      <c r="D437" s="88">
        <v>1</v>
      </c>
    </row>
    <row r="438" spans="1:4" ht="15.6" x14ac:dyDescent="0.3">
      <c r="A438" s="6" t="s">
        <v>385</v>
      </c>
      <c r="B438" s="78" t="s">
        <v>658</v>
      </c>
      <c r="C438" s="78"/>
      <c r="D438" s="89">
        <v>10</v>
      </c>
    </row>
    <row r="439" spans="1:4" ht="15.6" x14ac:dyDescent="0.3">
      <c r="A439" s="6" t="s">
        <v>385</v>
      </c>
      <c r="B439" s="6" t="s">
        <v>456</v>
      </c>
      <c r="C439" s="6" t="s">
        <v>445</v>
      </c>
      <c r="D439" s="88">
        <v>1</v>
      </c>
    </row>
    <row r="440" spans="1:4" ht="15.6" x14ac:dyDescent="0.3">
      <c r="A440" s="6" t="s">
        <v>385</v>
      </c>
      <c r="B440" s="6" t="s">
        <v>456</v>
      </c>
      <c r="C440" s="6" t="s">
        <v>479</v>
      </c>
      <c r="D440" s="88">
        <v>1</v>
      </c>
    </row>
    <row r="441" spans="1:4" ht="15.6" x14ac:dyDescent="0.3">
      <c r="A441" s="6" t="s">
        <v>385</v>
      </c>
      <c r="B441" s="6" t="s">
        <v>456</v>
      </c>
      <c r="C441" s="6" t="s">
        <v>463</v>
      </c>
      <c r="D441" s="88">
        <v>1</v>
      </c>
    </row>
    <row r="442" spans="1:4" ht="15.6" x14ac:dyDescent="0.3">
      <c r="A442" s="6" t="s">
        <v>385</v>
      </c>
      <c r="B442" s="78" t="s">
        <v>677</v>
      </c>
      <c r="C442" s="78"/>
      <c r="D442" s="89">
        <v>3</v>
      </c>
    </row>
    <row r="443" spans="1:4" ht="15.6" x14ac:dyDescent="0.3">
      <c r="A443" s="6" t="s">
        <v>385</v>
      </c>
      <c r="B443" s="6" t="s">
        <v>490</v>
      </c>
      <c r="C443" s="6" t="s">
        <v>479</v>
      </c>
      <c r="D443" s="88">
        <v>1</v>
      </c>
    </row>
    <row r="444" spans="1:4" ht="15.6" x14ac:dyDescent="0.3">
      <c r="A444" s="6" t="s">
        <v>385</v>
      </c>
      <c r="B444" s="6" t="s">
        <v>490</v>
      </c>
      <c r="C444" s="6" t="s">
        <v>463</v>
      </c>
      <c r="D444" s="88">
        <v>1</v>
      </c>
    </row>
    <row r="445" spans="1:4" ht="15.6" x14ac:dyDescent="0.3">
      <c r="A445" s="6" t="s">
        <v>385</v>
      </c>
      <c r="B445" s="78" t="s">
        <v>682</v>
      </c>
      <c r="C445" s="78"/>
      <c r="D445" s="89">
        <v>2</v>
      </c>
    </row>
    <row r="446" spans="1:4" ht="15.6" x14ac:dyDescent="0.3">
      <c r="A446" s="6" t="s">
        <v>385</v>
      </c>
      <c r="B446" s="6" t="s">
        <v>441</v>
      </c>
      <c r="C446" s="6" t="s">
        <v>479</v>
      </c>
      <c r="D446" s="88">
        <v>1</v>
      </c>
    </row>
    <row r="447" spans="1:4" ht="15.6" x14ac:dyDescent="0.3">
      <c r="A447" s="6" t="s">
        <v>385</v>
      </c>
      <c r="B447" s="6" t="s">
        <v>441</v>
      </c>
      <c r="C447" s="6" t="s">
        <v>382</v>
      </c>
      <c r="D447" s="88">
        <v>1</v>
      </c>
    </row>
    <row r="448" spans="1:4" ht="15.6" x14ac:dyDescent="0.3">
      <c r="A448" s="6" t="s">
        <v>385</v>
      </c>
      <c r="B448" s="6" t="s">
        <v>441</v>
      </c>
      <c r="C448" s="6" t="s">
        <v>445</v>
      </c>
      <c r="D448" s="88">
        <v>1</v>
      </c>
    </row>
    <row r="449" spans="1:4" ht="15.6" x14ac:dyDescent="0.3">
      <c r="A449" s="6" t="s">
        <v>385</v>
      </c>
      <c r="B449" s="6" t="s">
        <v>441</v>
      </c>
      <c r="C449" s="6" t="s">
        <v>463</v>
      </c>
      <c r="D449" s="88">
        <v>1</v>
      </c>
    </row>
    <row r="450" spans="1:4" ht="15.6" x14ac:dyDescent="0.3">
      <c r="A450" s="6" t="s">
        <v>385</v>
      </c>
      <c r="B450" s="78" t="s">
        <v>681</v>
      </c>
      <c r="C450" s="78"/>
      <c r="D450" s="89">
        <v>4</v>
      </c>
    </row>
    <row r="451" spans="1:4" ht="15.6" x14ac:dyDescent="0.3">
      <c r="A451" s="6" t="s">
        <v>385</v>
      </c>
      <c r="B451" s="6" t="s">
        <v>457</v>
      </c>
      <c r="C451" s="6" t="s">
        <v>445</v>
      </c>
      <c r="D451" s="88">
        <v>1</v>
      </c>
    </row>
    <row r="452" spans="1:4" ht="15.6" x14ac:dyDescent="0.3">
      <c r="A452" s="6" t="s">
        <v>385</v>
      </c>
      <c r="B452" s="78" t="s">
        <v>656</v>
      </c>
      <c r="C452" s="78"/>
      <c r="D452" s="89">
        <v>1</v>
      </c>
    </row>
    <row r="453" spans="1:4" ht="15.6" x14ac:dyDescent="0.3">
      <c r="A453" s="6" t="s">
        <v>385</v>
      </c>
      <c r="B453" s="6" t="s">
        <v>435</v>
      </c>
      <c r="C453" s="6" t="s">
        <v>506</v>
      </c>
      <c r="D453" s="88">
        <v>1</v>
      </c>
    </row>
    <row r="454" spans="1:4" ht="15.6" x14ac:dyDescent="0.3">
      <c r="A454" s="6" t="s">
        <v>385</v>
      </c>
      <c r="B454" s="6" t="s">
        <v>435</v>
      </c>
      <c r="C454" s="6" t="s">
        <v>445</v>
      </c>
      <c r="D454" s="88">
        <v>1</v>
      </c>
    </row>
    <row r="455" spans="1:4" ht="15.6" x14ac:dyDescent="0.3">
      <c r="A455" s="6" t="s">
        <v>385</v>
      </c>
      <c r="B455" s="6" t="s">
        <v>435</v>
      </c>
      <c r="C455" s="6" t="s">
        <v>500</v>
      </c>
      <c r="D455" s="88">
        <v>1</v>
      </c>
    </row>
    <row r="456" spans="1:4" ht="15.6" x14ac:dyDescent="0.3">
      <c r="A456" s="6" t="s">
        <v>385</v>
      </c>
      <c r="B456" s="6" t="s">
        <v>435</v>
      </c>
      <c r="C456" s="6" t="s">
        <v>463</v>
      </c>
      <c r="D456" s="88">
        <v>1</v>
      </c>
    </row>
    <row r="457" spans="1:4" ht="15.6" x14ac:dyDescent="0.3">
      <c r="A457" s="6" t="s">
        <v>385</v>
      </c>
      <c r="B457" s="6" t="s">
        <v>435</v>
      </c>
      <c r="C457" s="6" t="s">
        <v>502</v>
      </c>
      <c r="D457" s="88">
        <v>1</v>
      </c>
    </row>
    <row r="458" spans="1:4" ht="15.6" x14ac:dyDescent="0.3">
      <c r="A458" s="6" t="s">
        <v>385</v>
      </c>
      <c r="B458" s="6" t="s">
        <v>435</v>
      </c>
      <c r="C458" s="6" t="s">
        <v>382</v>
      </c>
      <c r="D458" s="88">
        <v>1</v>
      </c>
    </row>
    <row r="459" spans="1:4" ht="15.6" x14ac:dyDescent="0.3">
      <c r="A459" s="6" t="s">
        <v>385</v>
      </c>
      <c r="B459" s="6" t="s">
        <v>435</v>
      </c>
      <c r="C459" s="6" t="s">
        <v>481</v>
      </c>
      <c r="D459" s="88">
        <v>1</v>
      </c>
    </row>
    <row r="460" spans="1:4" ht="15.6" x14ac:dyDescent="0.3">
      <c r="A460" s="6" t="s">
        <v>385</v>
      </c>
      <c r="B460" s="6" t="s">
        <v>435</v>
      </c>
      <c r="C460" s="6" t="s">
        <v>479</v>
      </c>
      <c r="D460" s="88">
        <v>1</v>
      </c>
    </row>
    <row r="461" spans="1:4" ht="15.6" x14ac:dyDescent="0.3">
      <c r="A461" s="6" t="s">
        <v>385</v>
      </c>
      <c r="B461" s="6" t="s">
        <v>435</v>
      </c>
      <c r="C461" s="6" t="s">
        <v>501</v>
      </c>
      <c r="D461" s="88">
        <v>1</v>
      </c>
    </row>
    <row r="462" spans="1:4" ht="15.6" x14ac:dyDescent="0.3">
      <c r="A462" s="6" t="s">
        <v>385</v>
      </c>
      <c r="B462" s="6" t="s">
        <v>435</v>
      </c>
      <c r="C462" s="6" t="s">
        <v>460</v>
      </c>
      <c r="D462" s="88">
        <v>1</v>
      </c>
    </row>
    <row r="463" spans="1:4" ht="15.6" x14ac:dyDescent="0.3">
      <c r="A463" s="6" t="s">
        <v>385</v>
      </c>
      <c r="B463" s="6" t="s">
        <v>435</v>
      </c>
      <c r="C463" s="6" t="s">
        <v>464</v>
      </c>
      <c r="D463" s="88">
        <v>1</v>
      </c>
    </row>
    <row r="464" spans="1:4" ht="15.6" x14ac:dyDescent="0.3">
      <c r="A464" s="6" t="s">
        <v>385</v>
      </c>
      <c r="B464" s="78" t="s">
        <v>679</v>
      </c>
      <c r="C464" s="78"/>
      <c r="D464" s="89">
        <v>11</v>
      </c>
    </row>
    <row r="465" spans="1:4" ht="15.6" x14ac:dyDescent="0.3">
      <c r="A465" s="6" t="s">
        <v>385</v>
      </c>
      <c r="B465" s="6" t="s">
        <v>438</v>
      </c>
      <c r="C465" s="6" t="s">
        <v>479</v>
      </c>
      <c r="D465" s="88">
        <v>1</v>
      </c>
    </row>
    <row r="466" spans="1:4" ht="15.6" x14ac:dyDescent="0.3">
      <c r="A466" s="6" t="s">
        <v>385</v>
      </c>
      <c r="B466" s="6" t="s">
        <v>438</v>
      </c>
      <c r="C466" s="6" t="s">
        <v>445</v>
      </c>
      <c r="D466" s="88">
        <v>1</v>
      </c>
    </row>
    <row r="467" spans="1:4" ht="15.6" x14ac:dyDescent="0.3">
      <c r="A467" s="6" t="s">
        <v>385</v>
      </c>
      <c r="B467" s="6" t="s">
        <v>438</v>
      </c>
      <c r="C467" s="6" t="s">
        <v>464</v>
      </c>
      <c r="D467" s="88">
        <v>1</v>
      </c>
    </row>
    <row r="468" spans="1:4" ht="15.6" x14ac:dyDescent="0.3">
      <c r="A468" s="6" t="s">
        <v>385</v>
      </c>
      <c r="B468" s="6" t="s">
        <v>438</v>
      </c>
      <c r="C468" s="6" t="s">
        <v>463</v>
      </c>
      <c r="D468" s="88">
        <v>1</v>
      </c>
    </row>
    <row r="469" spans="1:4" ht="15.6" x14ac:dyDescent="0.3">
      <c r="A469" s="6" t="s">
        <v>385</v>
      </c>
      <c r="B469" s="6" t="s">
        <v>438</v>
      </c>
      <c r="C469" s="6" t="s">
        <v>382</v>
      </c>
      <c r="D469" s="88">
        <v>1</v>
      </c>
    </row>
    <row r="470" spans="1:4" ht="15.6" x14ac:dyDescent="0.3">
      <c r="A470" s="6" t="s">
        <v>385</v>
      </c>
      <c r="B470" s="78" t="s">
        <v>665</v>
      </c>
      <c r="C470" s="78"/>
      <c r="D470" s="89">
        <v>5</v>
      </c>
    </row>
    <row r="471" spans="1:4" ht="15.6" x14ac:dyDescent="0.3">
      <c r="A471" s="6" t="s">
        <v>385</v>
      </c>
      <c r="B471" s="6" t="s">
        <v>395</v>
      </c>
      <c r="C471" s="6" t="s">
        <v>506</v>
      </c>
      <c r="D471" s="88">
        <v>1</v>
      </c>
    </row>
    <row r="472" spans="1:4" ht="15.6" x14ac:dyDescent="0.3">
      <c r="A472" s="6" t="s">
        <v>385</v>
      </c>
      <c r="B472" s="6" t="s">
        <v>395</v>
      </c>
      <c r="C472" s="6" t="s">
        <v>479</v>
      </c>
      <c r="D472" s="88">
        <v>1</v>
      </c>
    </row>
    <row r="473" spans="1:4" ht="15.6" x14ac:dyDescent="0.3">
      <c r="A473" s="6" t="s">
        <v>385</v>
      </c>
      <c r="B473" s="6" t="s">
        <v>395</v>
      </c>
      <c r="C473" s="6" t="s">
        <v>445</v>
      </c>
      <c r="D473" s="88">
        <v>1</v>
      </c>
    </row>
    <row r="474" spans="1:4" ht="15.6" x14ac:dyDescent="0.3">
      <c r="A474" s="6" t="s">
        <v>385</v>
      </c>
      <c r="B474" s="6" t="s">
        <v>395</v>
      </c>
      <c r="C474" s="6" t="s">
        <v>463</v>
      </c>
      <c r="D474" s="88">
        <v>1</v>
      </c>
    </row>
    <row r="475" spans="1:4" ht="15.6" x14ac:dyDescent="0.3">
      <c r="A475" s="6" t="s">
        <v>385</v>
      </c>
      <c r="B475" s="78" t="s">
        <v>669</v>
      </c>
      <c r="C475" s="78"/>
      <c r="D475" s="89">
        <v>4</v>
      </c>
    </row>
    <row r="476" spans="1:4" ht="15.6" x14ac:dyDescent="0.3">
      <c r="A476" s="6" t="s">
        <v>385</v>
      </c>
      <c r="B476" s="6" t="s">
        <v>433</v>
      </c>
      <c r="C476" s="6" t="s">
        <v>479</v>
      </c>
      <c r="D476" s="88">
        <v>1</v>
      </c>
    </row>
    <row r="477" spans="1:4" ht="15.6" x14ac:dyDescent="0.3">
      <c r="A477" s="6" t="s">
        <v>385</v>
      </c>
      <c r="B477" s="6" t="s">
        <v>433</v>
      </c>
      <c r="C477" s="6" t="s">
        <v>382</v>
      </c>
      <c r="D477" s="88">
        <v>1</v>
      </c>
    </row>
    <row r="478" spans="1:4" ht="15.6" x14ac:dyDescent="0.3">
      <c r="A478" s="6" t="s">
        <v>385</v>
      </c>
      <c r="B478" s="6" t="s">
        <v>433</v>
      </c>
      <c r="C478" s="6" t="s">
        <v>445</v>
      </c>
      <c r="D478" s="88">
        <v>1</v>
      </c>
    </row>
    <row r="479" spans="1:4" ht="15.6" x14ac:dyDescent="0.3">
      <c r="A479" s="6" t="s">
        <v>385</v>
      </c>
      <c r="B479" s="6" t="s">
        <v>433</v>
      </c>
      <c r="C479" s="6" t="s">
        <v>463</v>
      </c>
      <c r="D479" s="88">
        <v>1</v>
      </c>
    </row>
    <row r="480" spans="1:4" ht="15.6" x14ac:dyDescent="0.3">
      <c r="A480" s="6" t="s">
        <v>385</v>
      </c>
      <c r="B480" s="78" t="s">
        <v>667</v>
      </c>
      <c r="C480" s="78"/>
      <c r="D480" s="89">
        <v>4</v>
      </c>
    </row>
    <row r="481" spans="1:4" ht="15.6" x14ac:dyDescent="0.3">
      <c r="A481" s="6" t="s">
        <v>385</v>
      </c>
      <c r="B481" s="6" t="s">
        <v>442</v>
      </c>
      <c r="C481" s="6" t="s">
        <v>465</v>
      </c>
      <c r="D481" s="88">
        <v>1</v>
      </c>
    </row>
    <row r="482" spans="1:4" ht="15.6" x14ac:dyDescent="0.3">
      <c r="A482" s="6" t="s">
        <v>385</v>
      </c>
      <c r="B482" s="6" t="s">
        <v>442</v>
      </c>
      <c r="C482" s="6" t="s">
        <v>445</v>
      </c>
      <c r="D482" s="88">
        <v>1</v>
      </c>
    </row>
    <row r="483" spans="1:4" ht="15.6" x14ac:dyDescent="0.3">
      <c r="A483" s="6" t="s">
        <v>385</v>
      </c>
      <c r="B483" s="6" t="s">
        <v>442</v>
      </c>
      <c r="C483" s="6" t="s">
        <v>506</v>
      </c>
      <c r="D483" s="88">
        <v>1</v>
      </c>
    </row>
    <row r="484" spans="1:4" ht="15.6" x14ac:dyDescent="0.3">
      <c r="A484" s="6" t="s">
        <v>385</v>
      </c>
      <c r="B484" s="6" t="s">
        <v>442</v>
      </c>
      <c r="C484" s="6" t="s">
        <v>463</v>
      </c>
      <c r="D484" s="88">
        <v>1</v>
      </c>
    </row>
    <row r="485" spans="1:4" ht="15.6" x14ac:dyDescent="0.3">
      <c r="A485" s="6" t="s">
        <v>385</v>
      </c>
      <c r="B485" s="6" t="s">
        <v>442</v>
      </c>
      <c r="C485" s="6" t="s">
        <v>502</v>
      </c>
      <c r="D485" s="88">
        <v>1</v>
      </c>
    </row>
    <row r="486" spans="1:4" ht="15.6" x14ac:dyDescent="0.3">
      <c r="A486" s="6" t="s">
        <v>385</v>
      </c>
      <c r="B486" s="6" t="s">
        <v>442</v>
      </c>
      <c r="C486" s="6" t="s">
        <v>382</v>
      </c>
      <c r="D486" s="88">
        <v>1</v>
      </c>
    </row>
    <row r="487" spans="1:4" ht="15.6" x14ac:dyDescent="0.3">
      <c r="A487" s="6" t="s">
        <v>385</v>
      </c>
      <c r="B487" s="6" t="s">
        <v>442</v>
      </c>
      <c r="C487" s="6" t="s">
        <v>505</v>
      </c>
      <c r="D487" s="88">
        <v>1</v>
      </c>
    </row>
    <row r="488" spans="1:4" ht="15.6" x14ac:dyDescent="0.3">
      <c r="A488" s="6" t="s">
        <v>385</v>
      </c>
      <c r="B488" s="6" t="s">
        <v>442</v>
      </c>
      <c r="C488" s="6" t="s">
        <v>479</v>
      </c>
      <c r="D488" s="88">
        <v>1</v>
      </c>
    </row>
    <row r="489" spans="1:4" ht="15.6" x14ac:dyDescent="0.3">
      <c r="A489" s="6" t="s">
        <v>385</v>
      </c>
      <c r="B489" s="6" t="s">
        <v>442</v>
      </c>
      <c r="C489" s="6" t="s">
        <v>501</v>
      </c>
      <c r="D489" s="88">
        <v>1</v>
      </c>
    </row>
    <row r="490" spans="1:4" ht="15.6" x14ac:dyDescent="0.3">
      <c r="A490" s="6" t="s">
        <v>385</v>
      </c>
      <c r="B490" s="6" t="s">
        <v>442</v>
      </c>
      <c r="C490" s="6" t="s">
        <v>460</v>
      </c>
      <c r="D490" s="88">
        <v>1</v>
      </c>
    </row>
    <row r="491" spans="1:4" ht="15.6" x14ac:dyDescent="0.3">
      <c r="A491" s="6" t="s">
        <v>385</v>
      </c>
      <c r="B491" s="6" t="s">
        <v>442</v>
      </c>
      <c r="C491" s="6" t="s">
        <v>464</v>
      </c>
      <c r="D491" s="88">
        <v>1</v>
      </c>
    </row>
    <row r="492" spans="1:4" ht="15.6" x14ac:dyDescent="0.3">
      <c r="A492" s="6" t="s">
        <v>385</v>
      </c>
      <c r="B492" s="78" t="s">
        <v>661</v>
      </c>
      <c r="C492" s="78"/>
      <c r="D492" s="89">
        <v>11</v>
      </c>
    </row>
    <row r="493" spans="1:4" ht="15.6" x14ac:dyDescent="0.3">
      <c r="A493" s="6" t="s">
        <v>385</v>
      </c>
      <c r="B493" s="6" t="s">
        <v>381</v>
      </c>
      <c r="C493" s="6" t="s">
        <v>479</v>
      </c>
      <c r="D493" s="88">
        <v>1</v>
      </c>
    </row>
    <row r="494" spans="1:4" ht="15.6" x14ac:dyDescent="0.3">
      <c r="A494" s="6" t="s">
        <v>385</v>
      </c>
      <c r="B494" s="6" t="s">
        <v>381</v>
      </c>
      <c r="C494" s="6" t="s">
        <v>445</v>
      </c>
      <c r="D494" s="88">
        <v>1</v>
      </c>
    </row>
    <row r="495" spans="1:4" ht="15.6" x14ac:dyDescent="0.3">
      <c r="A495" s="6" t="s">
        <v>385</v>
      </c>
      <c r="B495" s="6" t="s">
        <v>381</v>
      </c>
      <c r="C495" s="6" t="s">
        <v>464</v>
      </c>
      <c r="D495" s="88">
        <v>1</v>
      </c>
    </row>
    <row r="496" spans="1:4" ht="15.6" x14ac:dyDescent="0.3">
      <c r="A496" s="6" t="s">
        <v>385</v>
      </c>
      <c r="B496" s="6" t="s">
        <v>381</v>
      </c>
      <c r="C496" s="6" t="s">
        <v>463</v>
      </c>
      <c r="D496" s="88">
        <v>1</v>
      </c>
    </row>
    <row r="497" spans="1:4" ht="15.6" x14ac:dyDescent="0.3">
      <c r="A497" s="6" t="s">
        <v>385</v>
      </c>
      <c r="B497" s="6" t="s">
        <v>381</v>
      </c>
      <c r="C497" s="6" t="s">
        <v>382</v>
      </c>
      <c r="D497" s="88">
        <v>1</v>
      </c>
    </row>
    <row r="498" spans="1:4" ht="15.6" x14ac:dyDescent="0.3">
      <c r="A498" s="6" t="s">
        <v>385</v>
      </c>
      <c r="B498" s="78" t="s">
        <v>660</v>
      </c>
      <c r="C498" s="78"/>
      <c r="D498" s="89">
        <v>5</v>
      </c>
    </row>
    <row r="499" spans="1:4" ht="15.6" x14ac:dyDescent="0.3">
      <c r="A499" s="6" t="s">
        <v>385</v>
      </c>
      <c r="B499" s="6" t="s">
        <v>494</v>
      </c>
      <c r="C499" s="6" t="s">
        <v>506</v>
      </c>
      <c r="D499" s="88">
        <v>1</v>
      </c>
    </row>
    <row r="500" spans="1:4" ht="15.6" x14ac:dyDescent="0.3">
      <c r="A500" s="6" t="s">
        <v>385</v>
      </c>
      <c r="B500" s="6" t="s">
        <v>494</v>
      </c>
      <c r="C500" s="6" t="s">
        <v>465</v>
      </c>
      <c r="D500" s="88">
        <v>1</v>
      </c>
    </row>
    <row r="501" spans="1:4" ht="15.6" x14ac:dyDescent="0.3">
      <c r="A501" s="6" t="s">
        <v>385</v>
      </c>
      <c r="B501" s="6" t="s">
        <v>494</v>
      </c>
      <c r="C501" s="6" t="s">
        <v>463</v>
      </c>
      <c r="D501" s="88">
        <v>1</v>
      </c>
    </row>
    <row r="502" spans="1:4" ht="15.6" x14ac:dyDescent="0.3">
      <c r="A502" s="6" t="s">
        <v>385</v>
      </c>
      <c r="B502" s="6" t="s">
        <v>494</v>
      </c>
      <c r="C502" s="6" t="s">
        <v>479</v>
      </c>
      <c r="D502" s="88">
        <v>1</v>
      </c>
    </row>
    <row r="503" spans="1:4" ht="15.6" x14ac:dyDescent="0.3">
      <c r="A503" s="6" t="s">
        <v>385</v>
      </c>
      <c r="B503" s="6" t="s">
        <v>494</v>
      </c>
      <c r="C503" s="6" t="s">
        <v>505</v>
      </c>
      <c r="D503" s="88">
        <v>1</v>
      </c>
    </row>
    <row r="504" spans="1:4" ht="15.6" x14ac:dyDescent="0.3">
      <c r="A504" s="6" t="s">
        <v>385</v>
      </c>
      <c r="B504" s="6" t="s">
        <v>494</v>
      </c>
      <c r="C504" s="6" t="s">
        <v>460</v>
      </c>
      <c r="D504" s="88">
        <v>1</v>
      </c>
    </row>
    <row r="505" spans="1:4" ht="15.6" x14ac:dyDescent="0.3">
      <c r="A505" s="6" t="s">
        <v>385</v>
      </c>
      <c r="B505" s="6" t="s">
        <v>494</v>
      </c>
      <c r="C505" s="6" t="s">
        <v>501</v>
      </c>
      <c r="D505" s="88">
        <v>1</v>
      </c>
    </row>
    <row r="506" spans="1:4" ht="15.6" x14ac:dyDescent="0.3">
      <c r="A506" s="6" t="s">
        <v>385</v>
      </c>
      <c r="B506" s="6" t="s">
        <v>494</v>
      </c>
      <c r="C506" s="6" t="s">
        <v>464</v>
      </c>
      <c r="D506" s="88">
        <v>1</v>
      </c>
    </row>
    <row r="507" spans="1:4" ht="15.6" x14ac:dyDescent="0.3">
      <c r="A507" s="6" t="s">
        <v>385</v>
      </c>
      <c r="B507" s="6" t="s">
        <v>494</v>
      </c>
      <c r="C507" s="6" t="s">
        <v>502</v>
      </c>
      <c r="D507" s="88">
        <v>1</v>
      </c>
    </row>
    <row r="508" spans="1:4" ht="15.6" x14ac:dyDescent="0.3">
      <c r="A508" s="6" t="s">
        <v>385</v>
      </c>
      <c r="B508" s="78" t="s">
        <v>659</v>
      </c>
      <c r="C508" s="78"/>
      <c r="D508" s="89">
        <v>9</v>
      </c>
    </row>
    <row r="509" spans="1:4" ht="15.6" x14ac:dyDescent="0.3">
      <c r="A509" s="6" t="s">
        <v>385</v>
      </c>
      <c r="B509" s="6" t="s">
        <v>434</v>
      </c>
      <c r="C509" s="6" t="s">
        <v>479</v>
      </c>
      <c r="D509" s="88">
        <v>1</v>
      </c>
    </row>
    <row r="510" spans="1:4" ht="15.6" x14ac:dyDescent="0.3">
      <c r="A510" s="6" t="s">
        <v>385</v>
      </c>
      <c r="B510" s="6" t="s">
        <v>434</v>
      </c>
      <c r="C510" s="6" t="s">
        <v>445</v>
      </c>
      <c r="D510" s="88">
        <v>1</v>
      </c>
    </row>
    <row r="511" spans="1:4" ht="15.6" x14ac:dyDescent="0.3">
      <c r="A511" s="6" t="s">
        <v>385</v>
      </c>
      <c r="B511" s="6" t="s">
        <v>434</v>
      </c>
      <c r="C511" s="6" t="s">
        <v>465</v>
      </c>
      <c r="D511" s="88">
        <v>1</v>
      </c>
    </row>
    <row r="512" spans="1:4" ht="15.6" x14ac:dyDescent="0.3">
      <c r="A512" s="6" t="s">
        <v>385</v>
      </c>
      <c r="B512" s="6" t="s">
        <v>434</v>
      </c>
      <c r="C512" s="6" t="s">
        <v>463</v>
      </c>
      <c r="D512" s="88">
        <v>1</v>
      </c>
    </row>
    <row r="513" spans="1:4" ht="15.6" x14ac:dyDescent="0.3">
      <c r="A513" s="6" t="s">
        <v>385</v>
      </c>
      <c r="B513" s="6" t="s">
        <v>434</v>
      </c>
      <c r="C513" s="6" t="s">
        <v>382</v>
      </c>
      <c r="D513" s="88">
        <v>1</v>
      </c>
    </row>
    <row r="514" spans="1:4" ht="15.6" x14ac:dyDescent="0.3">
      <c r="A514" s="6" t="s">
        <v>385</v>
      </c>
      <c r="B514" s="78" t="s">
        <v>666</v>
      </c>
      <c r="C514" s="78"/>
      <c r="D514" s="89">
        <v>5</v>
      </c>
    </row>
    <row r="515" spans="1:4" ht="15.6" x14ac:dyDescent="0.3">
      <c r="A515" s="6" t="s">
        <v>385</v>
      </c>
      <c r="B515" s="6" t="s">
        <v>439</v>
      </c>
      <c r="C515" s="6" t="s">
        <v>506</v>
      </c>
      <c r="D515" s="88">
        <v>1</v>
      </c>
    </row>
    <row r="516" spans="1:4" ht="15.6" x14ac:dyDescent="0.3">
      <c r="A516" s="6" t="s">
        <v>385</v>
      </c>
      <c r="B516" s="6" t="s">
        <v>439</v>
      </c>
      <c r="C516" s="6" t="s">
        <v>382</v>
      </c>
      <c r="D516" s="88">
        <v>1</v>
      </c>
    </row>
    <row r="517" spans="1:4" ht="15.6" x14ac:dyDescent="0.3">
      <c r="A517" s="6" t="s">
        <v>385</v>
      </c>
      <c r="B517" s="6" t="s">
        <v>439</v>
      </c>
      <c r="C517" s="6" t="s">
        <v>445</v>
      </c>
      <c r="D517" s="88">
        <v>1</v>
      </c>
    </row>
    <row r="518" spans="1:4" ht="15.6" x14ac:dyDescent="0.3">
      <c r="A518" s="6" t="s">
        <v>385</v>
      </c>
      <c r="B518" s="6" t="s">
        <v>439</v>
      </c>
      <c r="C518" s="6" t="s">
        <v>463</v>
      </c>
      <c r="D518" s="88">
        <v>1</v>
      </c>
    </row>
    <row r="519" spans="1:4" ht="15.6" x14ac:dyDescent="0.3">
      <c r="A519" s="6" t="s">
        <v>385</v>
      </c>
      <c r="B519" s="78" t="s">
        <v>675</v>
      </c>
      <c r="C519" s="78"/>
      <c r="D519" s="89">
        <v>4</v>
      </c>
    </row>
    <row r="520" spans="1:4" ht="15.6" x14ac:dyDescent="0.3">
      <c r="A520" s="6" t="s">
        <v>385</v>
      </c>
      <c r="B520" s="6" t="s">
        <v>452</v>
      </c>
      <c r="C520" s="6" t="s">
        <v>445</v>
      </c>
      <c r="D520" s="88">
        <v>1</v>
      </c>
    </row>
    <row r="521" spans="1:4" ht="15.6" x14ac:dyDescent="0.3">
      <c r="A521" s="6" t="s">
        <v>385</v>
      </c>
      <c r="B521" s="78" t="s">
        <v>680</v>
      </c>
      <c r="C521" s="78"/>
      <c r="D521" s="89">
        <v>1</v>
      </c>
    </row>
    <row r="522" spans="1:4" ht="15.6" x14ac:dyDescent="0.3">
      <c r="A522" s="6" t="s">
        <v>385</v>
      </c>
      <c r="B522" s="6" t="s">
        <v>443</v>
      </c>
      <c r="C522" s="6" t="s">
        <v>479</v>
      </c>
      <c r="D522" s="88">
        <v>1</v>
      </c>
    </row>
    <row r="523" spans="1:4" ht="15.6" x14ac:dyDescent="0.3">
      <c r="A523" s="6" t="s">
        <v>385</v>
      </c>
      <c r="B523" s="6" t="s">
        <v>443</v>
      </c>
      <c r="C523" s="6" t="s">
        <v>382</v>
      </c>
      <c r="D523" s="88">
        <v>1</v>
      </c>
    </row>
    <row r="524" spans="1:4" ht="15.6" x14ac:dyDescent="0.3">
      <c r="A524" s="6" t="s">
        <v>385</v>
      </c>
      <c r="B524" s="6" t="s">
        <v>443</v>
      </c>
      <c r="C524" s="6" t="s">
        <v>445</v>
      </c>
      <c r="D524" s="88">
        <v>1</v>
      </c>
    </row>
    <row r="525" spans="1:4" ht="15.6" x14ac:dyDescent="0.3">
      <c r="A525" s="6" t="s">
        <v>385</v>
      </c>
      <c r="B525" s="6" t="s">
        <v>443</v>
      </c>
      <c r="C525" s="6" t="s">
        <v>463</v>
      </c>
      <c r="D525" s="88">
        <v>1</v>
      </c>
    </row>
    <row r="526" spans="1:4" ht="15.6" x14ac:dyDescent="0.3">
      <c r="A526" s="6" t="s">
        <v>385</v>
      </c>
      <c r="B526" s="78" t="s">
        <v>663</v>
      </c>
      <c r="C526" s="78"/>
      <c r="D526" s="89">
        <v>4</v>
      </c>
    </row>
    <row r="527" spans="1:4" ht="15.6" x14ac:dyDescent="0.3">
      <c r="A527" s="6" t="s">
        <v>385</v>
      </c>
      <c r="B527" s="6" t="s">
        <v>436</v>
      </c>
      <c r="C527" s="6" t="s">
        <v>445</v>
      </c>
      <c r="D527" s="88">
        <v>1</v>
      </c>
    </row>
    <row r="528" spans="1:4" ht="15.6" x14ac:dyDescent="0.3">
      <c r="A528" s="6" t="s">
        <v>385</v>
      </c>
      <c r="B528" s="6" t="s">
        <v>436</v>
      </c>
      <c r="C528" s="6" t="s">
        <v>465</v>
      </c>
      <c r="D528" s="88">
        <v>1</v>
      </c>
    </row>
    <row r="529" spans="1:4" ht="15.6" x14ac:dyDescent="0.3">
      <c r="A529" s="6" t="s">
        <v>385</v>
      </c>
      <c r="B529" s="6" t="s">
        <v>436</v>
      </c>
      <c r="C529" s="6" t="s">
        <v>460</v>
      </c>
      <c r="D529" s="88">
        <v>1</v>
      </c>
    </row>
    <row r="530" spans="1:4" ht="15.6" x14ac:dyDescent="0.3">
      <c r="A530" s="6" t="s">
        <v>385</v>
      </c>
      <c r="B530" s="6" t="s">
        <v>436</v>
      </c>
      <c r="C530" s="6" t="s">
        <v>463</v>
      </c>
      <c r="D530" s="88">
        <v>1</v>
      </c>
    </row>
    <row r="531" spans="1:4" ht="15.6" x14ac:dyDescent="0.3">
      <c r="A531" s="6" t="s">
        <v>385</v>
      </c>
      <c r="B531" s="6" t="s">
        <v>436</v>
      </c>
      <c r="C531" s="6" t="s">
        <v>505</v>
      </c>
      <c r="D531" s="88">
        <v>1</v>
      </c>
    </row>
    <row r="532" spans="1:4" ht="15.6" x14ac:dyDescent="0.3">
      <c r="A532" s="6" t="s">
        <v>385</v>
      </c>
      <c r="B532" s="6" t="s">
        <v>436</v>
      </c>
      <c r="C532" s="6" t="s">
        <v>382</v>
      </c>
      <c r="D532" s="88">
        <v>1</v>
      </c>
    </row>
    <row r="533" spans="1:4" ht="15.6" x14ac:dyDescent="0.3">
      <c r="A533" s="6" t="s">
        <v>385</v>
      </c>
      <c r="B533" s="6" t="s">
        <v>436</v>
      </c>
      <c r="C533" s="6" t="s">
        <v>479</v>
      </c>
      <c r="D533" s="88">
        <v>1</v>
      </c>
    </row>
    <row r="534" spans="1:4" ht="15.6" x14ac:dyDescent="0.3">
      <c r="A534" s="6" t="s">
        <v>385</v>
      </c>
      <c r="B534" s="78" t="s">
        <v>662</v>
      </c>
      <c r="C534" s="78"/>
      <c r="D534" s="89">
        <v>7</v>
      </c>
    </row>
    <row r="535" spans="1:4" ht="15.6" x14ac:dyDescent="0.3">
      <c r="A535" s="6" t="s">
        <v>385</v>
      </c>
      <c r="B535" s="6" t="s">
        <v>432</v>
      </c>
      <c r="C535" s="6" t="s">
        <v>479</v>
      </c>
      <c r="D535" s="88">
        <v>1</v>
      </c>
    </row>
    <row r="536" spans="1:4" ht="15.6" x14ac:dyDescent="0.3">
      <c r="A536" s="6" t="s">
        <v>385</v>
      </c>
      <c r="B536" s="6" t="s">
        <v>432</v>
      </c>
      <c r="C536" s="6" t="s">
        <v>445</v>
      </c>
      <c r="D536" s="88">
        <v>1</v>
      </c>
    </row>
    <row r="537" spans="1:4" ht="15.6" x14ac:dyDescent="0.3">
      <c r="A537" s="6" t="s">
        <v>385</v>
      </c>
      <c r="B537" s="6" t="s">
        <v>432</v>
      </c>
      <c r="C537" s="6" t="s">
        <v>460</v>
      </c>
      <c r="D537" s="88">
        <v>1</v>
      </c>
    </row>
    <row r="538" spans="1:4" ht="15.6" x14ac:dyDescent="0.3">
      <c r="A538" s="6" t="s">
        <v>385</v>
      </c>
      <c r="B538" s="6" t="s">
        <v>432</v>
      </c>
      <c r="C538" s="6" t="s">
        <v>463</v>
      </c>
      <c r="D538" s="88">
        <v>1</v>
      </c>
    </row>
    <row r="539" spans="1:4" ht="15.6" x14ac:dyDescent="0.3">
      <c r="A539" s="6" t="s">
        <v>385</v>
      </c>
      <c r="B539" s="6" t="s">
        <v>432</v>
      </c>
      <c r="C539" s="6" t="s">
        <v>382</v>
      </c>
      <c r="D539" s="88">
        <v>1</v>
      </c>
    </row>
    <row r="540" spans="1:4" ht="15.6" x14ac:dyDescent="0.3">
      <c r="A540" s="6" t="s">
        <v>385</v>
      </c>
      <c r="B540" s="78" t="s">
        <v>664</v>
      </c>
      <c r="C540" s="78"/>
      <c r="D540" s="89">
        <v>5</v>
      </c>
    </row>
    <row r="541" spans="1:4" ht="15.6" x14ac:dyDescent="0.3">
      <c r="A541" s="6" t="s">
        <v>385</v>
      </c>
      <c r="B541" s="6" t="s">
        <v>484</v>
      </c>
      <c r="C541" s="6" t="s">
        <v>463</v>
      </c>
      <c r="D541" s="88">
        <v>1</v>
      </c>
    </row>
    <row r="542" spans="1:4" ht="15.6" x14ac:dyDescent="0.3">
      <c r="A542" s="6" t="s">
        <v>385</v>
      </c>
      <c r="B542" s="6" t="s">
        <v>484</v>
      </c>
      <c r="C542" s="6" t="s">
        <v>445</v>
      </c>
      <c r="D542" s="88">
        <v>1</v>
      </c>
    </row>
    <row r="543" spans="1:4" ht="15.6" x14ac:dyDescent="0.3">
      <c r="A543" s="6" t="s">
        <v>385</v>
      </c>
      <c r="B543" s="78" t="s">
        <v>671</v>
      </c>
      <c r="C543" s="78"/>
      <c r="D543" s="89">
        <v>2</v>
      </c>
    </row>
    <row r="544" spans="1:4" ht="15.6" x14ac:dyDescent="0.3">
      <c r="A544" s="6" t="s">
        <v>385</v>
      </c>
      <c r="B544" s="6" t="s">
        <v>493</v>
      </c>
      <c r="C544" s="6" t="s">
        <v>445</v>
      </c>
      <c r="D544" s="88">
        <v>1</v>
      </c>
    </row>
    <row r="545" spans="1:4" ht="15.6" x14ac:dyDescent="0.3">
      <c r="A545" s="6" t="s">
        <v>385</v>
      </c>
      <c r="B545" s="78" t="s">
        <v>670</v>
      </c>
      <c r="C545" s="78"/>
      <c r="D545" s="89">
        <v>1</v>
      </c>
    </row>
    <row r="546" spans="1:4" ht="15.6" x14ac:dyDescent="0.3">
      <c r="A546" s="6" t="s">
        <v>385</v>
      </c>
      <c r="B546" s="6" t="s">
        <v>461</v>
      </c>
      <c r="C546" s="6" t="s">
        <v>463</v>
      </c>
      <c r="D546" s="88">
        <v>1</v>
      </c>
    </row>
    <row r="547" spans="1:4" ht="15.6" x14ac:dyDescent="0.3">
      <c r="A547" s="6" t="s">
        <v>385</v>
      </c>
      <c r="B547" s="6" t="s">
        <v>461</v>
      </c>
      <c r="C547" s="6" t="s">
        <v>445</v>
      </c>
      <c r="D547" s="88">
        <v>1</v>
      </c>
    </row>
    <row r="548" spans="1:4" ht="15.6" x14ac:dyDescent="0.3">
      <c r="A548" s="6" t="s">
        <v>385</v>
      </c>
      <c r="B548" s="78" t="s">
        <v>683</v>
      </c>
      <c r="C548" s="78"/>
      <c r="D548" s="89">
        <v>2</v>
      </c>
    </row>
    <row r="549" spans="1:4" ht="15.6" x14ac:dyDescent="0.3">
      <c r="A549" s="79" t="s">
        <v>740</v>
      </c>
      <c r="B549" s="79"/>
      <c r="C549" s="79"/>
      <c r="D549" s="90">
        <v>118</v>
      </c>
    </row>
    <row r="550" spans="1:4" ht="15.6" x14ac:dyDescent="0.3">
      <c r="A550" s="80" t="s">
        <v>733</v>
      </c>
      <c r="B550" s="80"/>
      <c r="C550" s="80"/>
      <c r="D550" s="91">
        <v>435</v>
      </c>
    </row>
  </sheetData>
  <mergeCells count="5">
    <mergeCell ref="G15:H15"/>
    <mergeCell ref="G16:H16"/>
    <mergeCell ref="G17:H17"/>
    <mergeCell ref="G18:H18"/>
    <mergeCell ref="F22:K27"/>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Q1</vt:lpstr>
      <vt:lpstr>Q2</vt:lpstr>
      <vt:lpstr>Sales Data</vt:lpstr>
      <vt:lpstr>Customer Master</vt:lpstr>
      <vt:lpstr>Employee Attendance</vt:lpstr>
      <vt:lpstr>Employee Master</vt:lpstr>
      <vt:lpstr>Q5</vt:lpstr>
      <vt:lpstr>Q6</vt:lpstr>
      <vt:lpstr>Q7</vt:lpstr>
      <vt:lpstr>Q8</vt:lpstr>
      <vt:lpstr>Q9</vt:lpstr>
      <vt:lpstr>Q10</vt:lpstr>
      <vt:lpstr>Pivot Table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Srabosthy Das Prama</cp:lastModifiedBy>
  <dcterms:created xsi:type="dcterms:W3CDTF">2026-06-19T03:21:20Z</dcterms:created>
  <dcterms:modified xsi:type="dcterms:W3CDTF">2026-07-26T06:04:28Z</dcterms:modified>
</cp:coreProperties>
</file>