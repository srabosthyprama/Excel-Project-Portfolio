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Related Files\Portfolio\Excel\Excel Lookup &amp; Logical Functions\Practiced Excel Lookup &amp; Logical Functions\"/>
    </mc:Choice>
  </mc:AlternateContent>
  <xr:revisionPtr revIDLastSave="0" documentId="13_ncr:1_{B886C884-B6F8-401F-942D-3CB520166A46}" xr6:coauthVersionLast="47" xr6:coauthVersionMax="47" xr10:uidLastSave="{00000000-0000-0000-0000-000000000000}"/>
  <bookViews>
    <workbookView xWindow="-108" yWindow="-108" windowWidth="23256" windowHeight="12456" activeTab="1" xr2:uid="{0B1A21F5-0EBF-437B-AA7F-A9B5D8C66365}"/>
  </bookViews>
  <sheets>
    <sheet name="IF" sheetId="1" r:id="rId1"/>
    <sheet name="IFS" sheetId="2" r:id="rId2"/>
    <sheet name="Age Group (IFs)" sheetId="3" r:id="rId3"/>
  </sheets>
  <definedNames>
    <definedName name="_xlnm._FilterDatabase" localSheetId="1" hidden="1">IFS!$A$21:$J$26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 a="1"/>
  <c r="B3" i="3"/>
  <c r="B4" i="3" a="1"/>
  <c r="B4" i="3"/>
  <c r="B5" i="3" a="1"/>
  <c r="B5" i="3"/>
  <c r="B6" i="3" a="1"/>
  <c r="B6" i="3"/>
  <c r="B7" i="3" a="1"/>
  <c r="B7" i="3"/>
  <c r="B8" i="3" a="1"/>
  <c r="B8" i="3"/>
  <c r="B9" i="3" a="1"/>
  <c r="B9" i="3"/>
  <c r="B10" i="3" a="1"/>
  <c r="B10" i="3"/>
  <c r="B11" i="3" a="1"/>
  <c r="B11" i="3"/>
  <c r="B12" i="3" a="1"/>
  <c r="B12" i="3"/>
  <c r="B13" i="3" a="1"/>
  <c r="B13" i="3"/>
  <c r="B14" i="3" a="1"/>
  <c r="B14" i="3"/>
  <c r="B15" i="3" a="1"/>
  <c r="B15" i="3"/>
  <c r="B16" i="3" a="1"/>
  <c r="B16" i="3"/>
  <c r="B17" i="3" a="1"/>
  <c r="B17" i="3"/>
  <c r="B18" i="3" a="1"/>
  <c r="B18" i="3" s="1"/>
  <c r="B19" i="3" a="1"/>
  <c r="B19" i="3"/>
  <c r="B20" i="3" a="1"/>
  <c r="B20" i="3"/>
  <c r="B21" i="3" a="1"/>
  <c r="B21" i="3"/>
  <c r="B22" i="3" a="1"/>
  <c r="B22" i="3"/>
  <c r="B23" i="3" a="1"/>
  <c r="B23" i="3"/>
  <c r="B24" i="3" a="1"/>
  <c r="B24" i="3"/>
  <c r="B25" i="3" a="1"/>
  <c r="B25" i="3"/>
  <c r="B26" i="3" a="1"/>
  <c r="B26" i="3"/>
  <c r="B27" i="3" a="1"/>
  <c r="B27" i="3"/>
  <c r="B2" i="3" a="1"/>
  <c r="B2" i="3" s="1"/>
  <c r="I29" i="2"/>
  <c r="G31" i="2"/>
  <c r="G30" i="2"/>
  <c r="G29" i="2"/>
  <c r="G28" i="2"/>
  <c r="J23" i="2"/>
  <c r="J24" i="2"/>
  <c r="J25" i="2"/>
  <c r="J26" i="2"/>
  <c r="J22" i="2"/>
  <c r="I23" i="2"/>
  <c r="I24" i="2"/>
  <c r="I25" i="2"/>
  <c r="I26" i="2"/>
  <c r="I22" i="2"/>
  <c r="H23" i="2"/>
  <c r="H24" i="2"/>
  <c r="H25" i="2"/>
  <c r="H26" i="2"/>
  <c r="H22" i="2"/>
  <c r="G6" i="2"/>
  <c r="G7" i="2"/>
  <c r="G8" i="2"/>
  <c r="G9" i="2"/>
  <c r="G10" i="2"/>
  <c r="G11" i="2"/>
  <c r="G12" i="2"/>
  <c r="G13" i="2"/>
  <c r="G14" i="2"/>
  <c r="G5" i="2"/>
  <c r="D19" i="1"/>
  <c r="D20" i="1"/>
  <c r="D21" i="1"/>
  <c r="D22" i="1"/>
  <c r="D23" i="1"/>
  <c r="D24" i="1"/>
  <c r="D25" i="1"/>
  <c r="D26" i="1"/>
  <c r="D27" i="1"/>
  <c r="D18" i="1"/>
  <c r="E6" i="1"/>
  <c r="E7" i="1"/>
  <c r="E8" i="1"/>
  <c r="E9" i="1"/>
  <c r="E10" i="1"/>
  <c r="E11" i="1"/>
  <c r="E12" i="1"/>
  <c r="E13" i="1"/>
  <c r="E14" i="1"/>
  <c r="E5" i="1"/>
  <c r="G26" i="2"/>
  <c r="G25" i="2"/>
  <c r="G24" i="2"/>
  <c r="G23" i="2"/>
  <c r="G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<sst xmlns="http://schemas.openxmlformats.org/spreadsheetml/2006/main" count="105" uniqueCount="49">
  <si>
    <t>Student Roll</t>
  </si>
  <si>
    <t>Student Name</t>
  </si>
  <si>
    <t>Status</t>
  </si>
  <si>
    <t>Arif Hossain</t>
  </si>
  <si>
    <t>Jihad Ahmed</t>
  </si>
  <si>
    <t>Farhan Shikder</t>
  </si>
  <si>
    <t>Khadija Akther</t>
  </si>
  <si>
    <t>Rahul Mia</t>
  </si>
  <si>
    <t>Raiyan</t>
  </si>
  <si>
    <t>Shneha Akther</t>
  </si>
  <si>
    <t>Karim Uddin</t>
  </si>
  <si>
    <t>Arafat Hossain</t>
  </si>
  <si>
    <t>Saiful Islam</t>
  </si>
  <si>
    <t>Gender</t>
  </si>
  <si>
    <t>Male</t>
  </si>
  <si>
    <t>Female</t>
  </si>
  <si>
    <t>Total Sales</t>
  </si>
  <si>
    <t>Name MD/Miss</t>
  </si>
  <si>
    <t>Ban</t>
  </si>
  <si>
    <t>Math</t>
  </si>
  <si>
    <t>Eng</t>
  </si>
  <si>
    <t>Salary</t>
  </si>
  <si>
    <t>EMP Name</t>
  </si>
  <si>
    <t>Sajib Khan</t>
  </si>
  <si>
    <t>Rifat Hossain</t>
  </si>
  <si>
    <t>Sagor Khan</t>
  </si>
  <si>
    <t>Raiyan Ahmed</t>
  </si>
  <si>
    <t>Week 1</t>
  </si>
  <si>
    <t>Week 2</t>
  </si>
  <si>
    <t>Week 3</t>
  </si>
  <si>
    <t>Week 4</t>
  </si>
  <si>
    <t>Toal Sales</t>
  </si>
  <si>
    <t>Bonus Status</t>
  </si>
  <si>
    <t>Bonus Amount</t>
  </si>
  <si>
    <t>Bonus With salary</t>
  </si>
  <si>
    <t>Bonus &gt;</t>
  </si>
  <si>
    <t>Bonus %</t>
  </si>
  <si>
    <t>Team Bonus</t>
  </si>
  <si>
    <t>Avg Sales</t>
  </si>
  <si>
    <t>Max Sales</t>
  </si>
  <si>
    <t>Min Sales</t>
  </si>
  <si>
    <t>Age</t>
  </si>
  <si>
    <t>Age Group</t>
  </si>
  <si>
    <t>Total Sale &gt;=</t>
  </si>
  <si>
    <t>Avg Sale &gt;</t>
  </si>
  <si>
    <t>AND</t>
  </si>
  <si>
    <t>Marks</t>
  </si>
  <si>
    <t>And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</si>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</sst>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1" applyNumberFormat="1" applyFont="1" applyAlignment="1">
      <alignment horizontal="center"/>
    </xf>
    <xf numFmtId="0" fontId="3" fillId="0" borderId="0" xfId="0" applyFont="1"/>
    <xf numFmtId="0" fontId="5" fillId="4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6" fillId="3" borderId="0" xfId="1" applyNumberFormat="1" applyFont="1" applyFill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3A16-C83B-4CB7-BF26-52D96DDFF224}">
  <dimension ref="A4:I27"/>
  <sheetViews>
    <sheetView zoomScale="115" zoomScaleNormal="115" workbookViewId="0">
      <selection activeCell="G7" sqref="G7"/>
    </sheetView>
  </sheetViews>
  <sheetFormatPr defaultColWidth="12.6640625" defaultRowHeight="14.4" x14ac:dyDescent="0.3"/>
  <cols>
    <col min="2" max="2" width="14.44140625" bestFit="1" customWidth="1"/>
    <col min="3" max="3" width="14.44140625" customWidth="1"/>
    <col min="4" max="4" width="18.6640625" bestFit="1" customWidth="1"/>
    <col min="5" max="5" width="15.6640625" customWidth="1"/>
    <col min="7" max="7" width="23.6640625" bestFit="1" customWidth="1"/>
    <col min="9" max="9" width="25.109375" customWidth="1"/>
  </cols>
  <sheetData>
    <row r="4" spans="1:9" ht="15.6" x14ac:dyDescent="0.3">
      <c r="A4" s="8" t="s">
        <v>0</v>
      </c>
      <c r="B4" s="8" t="s">
        <v>1</v>
      </c>
      <c r="C4" s="8" t="s">
        <v>13</v>
      </c>
      <c r="D4" s="8" t="s">
        <v>46</v>
      </c>
      <c r="E4" s="8" t="s">
        <v>2</v>
      </c>
    </row>
    <row r="5" spans="1:9" x14ac:dyDescent="0.3">
      <c r="A5" s="3">
        <v>1</v>
      </c>
      <c r="B5" s="3" t="s">
        <v>3</v>
      </c>
      <c r="C5" s="3" t="s">
        <v>14</v>
      </c>
      <c r="D5" s="3">
        <v>97</v>
      </c>
      <c r="E5" s="3" t="str">
        <f>IF(D5&gt;32,"Pass","Fail")</f>
        <v>Pass</v>
      </c>
      <c r="H5" s="6"/>
      <c r="I5" s="6"/>
    </row>
    <row r="6" spans="1:9" x14ac:dyDescent="0.3">
      <c r="A6" s="3">
        <v>2</v>
      </c>
      <c r="B6" s="3" t="s">
        <v>4</v>
      </c>
      <c r="C6" s="3" t="s">
        <v>14</v>
      </c>
      <c r="D6" s="3">
        <v>23</v>
      </c>
      <c r="E6" s="3" t="str">
        <f t="shared" ref="E6:E14" si="0">IF(D6&gt;32,"Pass","Fail")</f>
        <v>Fail</v>
      </c>
      <c r="H6" s="6"/>
    </row>
    <row r="7" spans="1:9" x14ac:dyDescent="0.3">
      <c r="A7" s="3">
        <v>3</v>
      </c>
      <c r="B7" s="3" t="s">
        <v>5</v>
      </c>
      <c r="C7" s="3" t="s">
        <v>14</v>
      </c>
      <c r="D7" s="3">
        <v>97</v>
      </c>
      <c r="E7" s="3" t="str">
        <f t="shared" si="0"/>
        <v>Pass</v>
      </c>
      <c r="H7" s="6"/>
      <c r="I7" s="6"/>
    </row>
    <row r="8" spans="1:9" x14ac:dyDescent="0.3">
      <c r="A8" s="3">
        <v>4</v>
      </c>
      <c r="B8" s="3" t="s">
        <v>6</v>
      </c>
      <c r="C8" s="3" t="s">
        <v>15</v>
      </c>
      <c r="D8" s="3">
        <v>33</v>
      </c>
      <c r="E8" s="3" t="str">
        <f t="shared" si="0"/>
        <v>Pass</v>
      </c>
    </row>
    <row r="9" spans="1:9" x14ac:dyDescent="0.3">
      <c r="A9" s="3">
        <v>5</v>
      </c>
      <c r="B9" s="3" t="s">
        <v>7</v>
      </c>
      <c r="C9" s="3" t="s">
        <v>14</v>
      </c>
      <c r="D9" s="3">
        <v>71</v>
      </c>
      <c r="E9" s="3" t="str">
        <f t="shared" si="0"/>
        <v>Pass</v>
      </c>
    </row>
    <row r="10" spans="1:9" x14ac:dyDescent="0.3">
      <c r="A10" s="3">
        <v>6</v>
      </c>
      <c r="B10" s="3" t="s">
        <v>8</v>
      </c>
      <c r="C10" s="3" t="s">
        <v>14</v>
      </c>
      <c r="D10" s="3">
        <v>32</v>
      </c>
      <c r="E10" s="3" t="str">
        <f t="shared" si="0"/>
        <v>Fail</v>
      </c>
    </row>
    <row r="11" spans="1:9" x14ac:dyDescent="0.3">
      <c r="A11" s="3">
        <v>7</v>
      </c>
      <c r="B11" s="3" t="s">
        <v>9</v>
      </c>
      <c r="C11" s="3" t="s">
        <v>15</v>
      </c>
      <c r="D11" s="3">
        <v>75</v>
      </c>
      <c r="E11" s="3" t="str">
        <f t="shared" si="0"/>
        <v>Pass</v>
      </c>
    </row>
    <row r="12" spans="1:9" x14ac:dyDescent="0.3">
      <c r="A12" s="3">
        <v>8</v>
      </c>
      <c r="B12" s="3" t="s">
        <v>10</v>
      </c>
      <c r="C12" s="3" t="s">
        <v>14</v>
      </c>
      <c r="D12" s="3">
        <v>50</v>
      </c>
      <c r="E12" s="3" t="str">
        <f t="shared" si="0"/>
        <v>Pass</v>
      </c>
    </row>
    <row r="13" spans="1:9" x14ac:dyDescent="0.3">
      <c r="A13" s="3">
        <v>9</v>
      </c>
      <c r="B13" s="3" t="s">
        <v>11</v>
      </c>
      <c r="C13" s="3" t="s">
        <v>14</v>
      </c>
      <c r="D13" s="3">
        <v>47</v>
      </c>
      <c r="E13" s="3" t="str">
        <f t="shared" si="0"/>
        <v>Pass</v>
      </c>
    </row>
    <row r="14" spans="1:9" x14ac:dyDescent="0.3">
      <c r="A14" s="3">
        <v>10</v>
      </c>
      <c r="B14" s="3" t="s">
        <v>12</v>
      </c>
      <c r="C14" s="3" t="s">
        <v>14</v>
      </c>
      <c r="D14" s="3">
        <v>23</v>
      </c>
      <c r="E14" s="3" t="str">
        <f t="shared" si="0"/>
        <v>Fail</v>
      </c>
    </row>
    <row r="17" spans="1:4" ht="15.6" x14ac:dyDescent="0.3">
      <c r="A17" s="8" t="s">
        <v>0</v>
      </c>
      <c r="B17" s="8" t="s">
        <v>1</v>
      </c>
      <c r="C17" s="8" t="s">
        <v>13</v>
      </c>
      <c r="D17" s="8" t="s">
        <v>17</v>
      </c>
    </row>
    <row r="18" spans="1:4" x14ac:dyDescent="0.3">
      <c r="A18" s="3">
        <v>1</v>
      </c>
      <c r="B18" s="3" t="s">
        <v>3</v>
      </c>
      <c r="C18" s="3" t="s">
        <v>14</v>
      </c>
      <c r="D18" s="3" t="str">
        <f>IF(C18="Male","MD "&amp;B18,"Miss "&amp;B18)</f>
        <v>MD Arif Hossain</v>
      </c>
    </row>
    <row r="19" spans="1:4" x14ac:dyDescent="0.3">
      <c r="A19" s="3">
        <v>2</v>
      </c>
      <c r="B19" s="3" t="s">
        <v>4</v>
      </c>
      <c r="C19" s="3" t="s">
        <v>14</v>
      </c>
      <c r="D19" s="3" t="str">
        <f t="shared" ref="D19:D27" si="1">IF(C19="Male","MD "&amp;B19,"Miss "&amp;B19)</f>
        <v>MD Jihad Ahmed</v>
      </c>
    </row>
    <row r="20" spans="1:4" x14ac:dyDescent="0.3">
      <c r="A20" s="3">
        <v>3</v>
      </c>
      <c r="B20" s="3" t="s">
        <v>5</v>
      </c>
      <c r="C20" s="3" t="s">
        <v>14</v>
      </c>
      <c r="D20" s="3" t="str">
        <f t="shared" si="1"/>
        <v>MD Farhan Shikder</v>
      </c>
    </row>
    <row r="21" spans="1:4" x14ac:dyDescent="0.3">
      <c r="A21" s="3">
        <v>4</v>
      </c>
      <c r="B21" s="3" t="s">
        <v>6</v>
      </c>
      <c r="C21" s="3" t="s">
        <v>15</v>
      </c>
      <c r="D21" s="3" t="str">
        <f t="shared" si="1"/>
        <v>Miss Khadija Akther</v>
      </c>
    </row>
    <row r="22" spans="1:4" x14ac:dyDescent="0.3">
      <c r="A22" s="3">
        <v>5</v>
      </c>
      <c r="B22" s="3" t="s">
        <v>7</v>
      </c>
      <c r="C22" s="3" t="s">
        <v>14</v>
      </c>
      <c r="D22" s="3" t="str">
        <f t="shared" si="1"/>
        <v>MD Rahul Mia</v>
      </c>
    </row>
    <row r="23" spans="1:4" x14ac:dyDescent="0.3">
      <c r="A23" s="3">
        <v>6</v>
      </c>
      <c r="B23" s="3" t="s">
        <v>8</v>
      </c>
      <c r="C23" s="3" t="s">
        <v>14</v>
      </c>
      <c r="D23" s="3" t="str">
        <f t="shared" si="1"/>
        <v>MD Raiyan</v>
      </c>
    </row>
    <row r="24" spans="1:4" x14ac:dyDescent="0.3">
      <c r="A24" s="3">
        <v>7</v>
      </c>
      <c r="B24" s="3" t="s">
        <v>9</v>
      </c>
      <c r="C24" s="3" t="s">
        <v>15</v>
      </c>
      <c r="D24" s="3" t="str">
        <f t="shared" si="1"/>
        <v>Miss Shneha Akther</v>
      </c>
    </row>
    <row r="25" spans="1:4" x14ac:dyDescent="0.3">
      <c r="A25" s="3">
        <v>8</v>
      </c>
      <c r="B25" s="3" t="s">
        <v>10</v>
      </c>
      <c r="C25" s="3" t="s">
        <v>14</v>
      </c>
      <c r="D25" s="3" t="str">
        <f t="shared" si="1"/>
        <v>MD Karim Uddin</v>
      </c>
    </row>
    <row r="26" spans="1:4" x14ac:dyDescent="0.3">
      <c r="A26" s="3">
        <v>9</v>
      </c>
      <c r="B26" s="3" t="s">
        <v>11</v>
      </c>
      <c r="C26" s="3" t="s">
        <v>14</v>
      </c>
      <c r="D26" s="3" t="str">
        <f t="shared" si="1"/>
        <v>MD Arafat Hossain</v>
      </c>
    </row>
    <row r="27" spans="1:4" x14ac:dyDescent="0.3">
      <c r="A27" s="3">
        <v>10</v>
      </c>
      <c r="B27" s="3" t="s">
        <v>12</v>
      </c>
      <c r="C27" s="3" t="s">
        <v>14</v>
      </c>
      <c r="D27" s="3" t="str">
        <f t="shared" si="1"/>
        <v>MD Saiful Islam</v>
      </c>
    </row>
  </sheetData>
  <conditionalFormatting sqref="D18:D27">
    <cfRule type="containsText" dxfId="3" priority="1" operator="containsText" text="Miss">
      <formula>NOT(ISERROR(SEARCH("Miss",D18)))</formula>
    </cfRule>
    <cfRule type="containsText" dxfId="2" priority="2" operator="containsText" text="MD">
      <formula>NOT(ISERROR(SEARCH("MD",D18)))</formula>
    </cfRule>
  </conditionalFormatting>
  <conditionalFormatting sqref="E5:E14">
    <cfRule type="containsText" dxfId="1" priority="3" operator="containsText" text="Fail">
      <formula>NOT(ISERROR(SEARCH("Fail",E5)))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69C7-6BED-483C-981E-E5BFE5BDBE18}">
  <dimension ref="A2:Q32"/>
  <sheetViews>
    <sheetView tabSelected="1" topLeftCell="A4" zoomScaleNormal="100" workbookViewId="0">
      <selection activeCell="N29" sqref="N29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2.33203125" customWidth="1"/>
    <col min="4" max="4" width="15.44140625" bestFit="1" customWidth="1"/>
    <col min="5" max="6" width="15.44140625" customWidth="1"/>
    <col min="7" max="7" width="13.6640625" bestFit="1" customWidth="1"/>
    <col min="8" max="8" width="16.33203125" bestFit="1" customWidth="1"/>
    <col min="9" max="9" width="18.109375" bestFit="1" customWidth="1"/>
    <col min="10" max="10" width="20.44140625" customWidth="1"/>
    <col min="15" max="15" width="9.33203125" customWidth="1"/>
  </cols>
  <sheetData>
    <row r="2" spans="1:17" x14ac:dyDescent="0.3">
      <c r="K2">
        <v>1</v>
      </c>
    </row>
    <row r="4" spans="1:17" x14ac:dyDescent="0.3">
      <c r="A4" s="12" t="s">
        <v>0</v>
      </c>
      <c r="B4" s="13" t="s">
        <v>1</v>
      </c>
      <c r="C4" s="12" t="s">
        <v>13</v>
      </c>
      <c r="D4" s="12" t="s">
        <v>18</v>
      </c>
      <c r="E4" s="12" t="s">
        <v>20</v>
      </c>
      <c r="F4" s="12" t="s">
        <v>19</v>
      </c>
      <c r="G4" s="12" t="s">
        <v>2</v>
      </c>
      <c r="Q4" t="s">
        <v>47</v>
      </c>
    </row>
    <row r="5" spans="1:17" x14ac:dyDescent="0.3">
      <c r="A5" s="3">
        <v>1</v>
      </c>
      <c r="B5" s="3" t="s">
        <v>3</v>
      </c>
      <c r="C5" s="3" t="s">
        <v>14</v>
      </c>
      <c r="D5" s="3">
        <v>97</v>
      </c>
      <c r="E5" s="3">
        <v>51</v>
      </c>
      <c r="F5" s="3">
        <v>97</v>
      </c>
      <c r="G5" s="3" t="str">
        <f>IF(AND(D5&gt;32,E5&gt;32,F5&gt;32),"Pass","Fail")</f>
        <v>Pass</v>
      </c>
    </row>
    <row r="6" spans="1:17" x14ac:dyDescent="0.3">
      <c r="A6" s="3">
        <v>2</v>
      </c>
      <c r="B6" s="3" t="s">
        <v>4</v>
      </c>
      <c r="C6" s="3" t="s">
        <v>14</v>
      </c>
      <c r="D6" s="3">
        <v>23</v>
      </c>
      <c r="E6" s="3">
        <v>15</v>
      </c>
      <c r="F6" s="3">
        <v>29</v>
      </c>
      <c r="G6" s="3" t="str">
        <f t="shared" ref="G6:G14" si="0">IF(AND(D6&gt;32,E6&gt;32,F6&gt;32),"Pass","Fail")</f>
        <v>Fail</v>
      </c>
    </row>
    <row r="7" spans="1:17" x14ac:dyDescent="0.3">
      <c r="A7" s="3">
        <v>3</v>
      </c>
      <c r="B7" s="3" t="s">
        <v>5</v>
      </c>
      <c r="C7" s="3" t="s">
        <v>14</v>
      </c>
      <c r="D7" s="3">
        <v>97</v>
      </c>
      <c r="E7" s="3">
        <v>74</v>
      </c>
      <c r="F7" s="3">
        <v>30</v>
      </c>
      <c r="G7" s="3" t="str">
        <f t="shared" si="0"/>
        <v>Fail</v>
      </c>
    </row>
    <row r="8" spans="1:17" x14ac:dyDescent="0.3">
      <c r="A8" s="3">
        <v>4</v>
      </c>
      <c r="B8" s="3" t="s">
        <v>6</v>
      </c>
      <c r="C8" s="3" t="s">
        <v>15</v>
      </c>
      <c r="D8" s="3">
        <v>33</v>
      </c>
      <c r="E8" s="3">
        <v>90</v>
      </c>
      <c r="F8" s="3">
        <v>99</v>
      </c>
      <c r="G8" s="3" t="str">
        <f t="shared" si="0"/>
        <v>Pass</v>
      </c>
    </row>
    <row r="9" spans="1:17" x14ac:dyDescent="0.3">
      <c r="A9" s="3">
        <v>5</v>
      </c>
      <c r="B9" s="3" t="s">
        <v>7</v>
      </c>
      <c r="C9" s="3" t="s">
        <v>14</v>
      </c>
      <c r="D9" s="3">
        <v>71</v>
      </c>
      <c r="E9" s="3">
        <v>79</v>
      </c>
      <c r="F9" s="3">
        <v>80</v>
      </c>
      <c r="G9" s="3" t="str">
        <f t="shared" si="0"/>
        <v>Pass</v>
      </c>
    </row>
    <row r="10" spans="1:17" x14ac:dyDescent="0.3">
      <c r="A10" s="3">
        <v>6</v>
      </c>
      <c r="B10" s="3" t="s">
        <v>8</v>
      </c>
      <c r="C10" s="3" t="s">
        <v>14</v>
      </c>
      <c r="D10" s="3">
        <v>23</v>
      </c>
      <c r="E10" s="3">
        <v>95</v>
      </c>
      <c r="F10" s="3">
        <v>35</v>
      </c>
      <c r="G10" s="3" t="str">
        <f t="shared" si="0"/>
        <v>Fail</v>
      </c>
    </row>
    <row r="11" spans="1:17" x14ac:dyDescent="0.3">
      <c r="A11" s="3">
        <v>7</v>
      </c>
      <c r="B11" s="3" t="s">
        <v>9</v>
      </c>
      <c r="C11" s="3" t="s">
        <v>15</v>
      </c>
      <c r="D11" s="3">
        <v>75</v>
      </c>
      <c r="E11" s="3">
        <v>80</v>
      </c>
      <c r="F11" s="3">
        <v>100</v>
      </c>
      <c r="G11" s="3" t="str">
        <f t="shared" si="0"/>
        <v>Pass</v>
      </c>
    </row>
    <row r="12" spans="1:17" x14ac:dyDescent="0.3">
      <c r="A12" s="3">
        <v>8</v>
      </c>
      <c r="B12" s="3" t="s">
        <v>10</v>
      </c>
      <c r="C12" s="3" t="s">
        <v>14</v>
      </c>
      <c r="D12" s="3">
        <v>50</v>
      </c>
      <c r="E12" s="3">
        <v>97</v>
      </c>
      <c r="F12" s="3">
        <v>82</v>
      </c>
      <c r="G12" s="3" t="str">
        <f t="shared" si="0"/>
        <v>Pass</v>
      </c>
    </row>
    <row r="13" spans="1:17" x14ac:dyDescent="0.3">
      <c r="A13" s="3">
        <v>9</v>
      </c>
      <c r="B13" s="3" t="s">
        <v>11</v>
      </c>
      <c r="C13" s="3" t="s">
        <v>14</v>
      </c>
      <c r="D13" s="3">
        <v>47</v>
      </c>
      <c r="E13" s="3">
        <v>80</v>
      </c>
      <c r="F13" s="3">
        <v>71</v>
      </c>
      <c r="G13" s="3" t="str">
        <f t="shared" si="0"/>
        <v>Pass</v>
      </c>
    </row>
    <row r="14" spans="1:17" x14ac:dyDescent="0.3">
      <c r="A14" s="3">
        <v>10</v>
      </c>
      <c r="B14" s="3" t="s">
        <v>12</v>
      </c>
      <c r="C14" s="3" t="s">
        <v>14</v>
      </c>
      <c r="D14" s="3">
        <v>23</v>
      </c>
      <c r="E14" s="3">
        <v>67</v>
      </c>
      <c r="F14" s="3">
        <v>31</v>
      </c>
      <c r="G14" s="3" t="str">
        <f t="shared" si="0"/>
        <v>Fail</v>
      </c>
    </row>
    <row r="15" spans="1:17" ht="18" x14ac:dyDescent="0.35">
      <c r="A15" s="1"/>
      <c r="B15" s="1"/>
      <c r="C15" s="1"/>
      <c r="D15" s="1"/>
      <c r="E15" s="1"/>
      <c r="F15" s="1"/>
      <c r="G15" s="1"/>
      <c r="L15" s="17" t="s">
        <v>43</v>
      </c>
      <c r="M15" s="17"/>
      <c r="N15" s="17"/>
    </row>
    <row r="16" spans="1:17" ht="22.8" customHeight="1" x14ac:dyDescent="0.45">
      <c r="A16" s="1"/>
      <c r="B16" s="1"/>
      <c r="C16" s="1"/>
      <c r="D16" s="1"/>
      <c r="E16" s="1"/>
      <c r="F16" s="1"/>
      <c r="G16" s="1"/>
      <c r="I16" s="15" t="s">
        <v>35</v>
      </c>
      <c r="J16" s="15" t="s">
        <v>36</v>
      </c>
      <c r="L16" s="18">
        <v>400000</v>
      </c>
      <c r="M16" s="18"/>
      <c r="N16" s="18"/>
    </row>
    <row r="17" spans="1:14" ht="22.8" customHeight="1" x14ac:dyDescent="0.55000000000000004">
      <c r="I17" s="9">
        <v>85000</v>
      </c>
      <c r="J17" s="10">
        <v>0.05</v>
      </c>
      <c r="M17" s="7" t="s">
        <v>45</v>
      </c>
    </row>
    <row r="18" spans="1:14" ht="18" x14ac:dyDescent="0.35">
      <c r="L18" s="17" t="s">
        <v>44</v>
      </c>
      <c r="M18" s="17"/>
      <c r="N18" s="17"/>
    </row>
    <row r="19" spans="1:14" ht="23.4" x14ac:dyDescent="0.45">
      <c r="L19" s="18">
        <v>85000</v>
      </c>
      <c r="M19" s="18"/>
      <c r="N19" s="18"/>
    </row>
    <row r="21" spans="1:14" x14ac:dyDescent="0.3">
      <c r="A21" s="12" t="s">
        <v>21</v>
      </c>
      <c r="B21" s="13" t="s">
        <v>22</v>
      </c>
      <c r="C21" s="12" t="s">
        <v>27</v>
      </c>
      <c r="D21" s="12" t="s">
        <v>28</v>
      </c>
      <c r="E21" s="12" t="s">
        <v>29</v>
      </c>
      <c r="F21" s="12" t="s">
        <v>30</v>
      </c>
      <c r="G21" s="12" t="s">
        <v>31</v>
      </c>
      <c r="H21" s="12" t="s">
        <v>32</v>
      </c>
      <c r="I21" s="12" t="s">
        <v>33</v>
      </c>
      <c r="J21" s="12" t="s">
        <v>34</v>
      </c>
    </row>
    <row r="22" spans="1:14" x14ac:dyDescent="0.3">
      <c r="A22" s="3">
        <v>20000</v>
      </c>
      <c r="B22" s="4" t="s">
        <v>11</v>
      </c>
      <c r="C22" s="3">
        <v>24382</v>
      </c>
      <c r="D22" s="3">
        <v>15000</v>
      </c>
      <c r="E22" s="3">
        <v>24382</v>
      </c>
      <c r="F22" s="3">
        <v>18000</v>
      </c>
      <c r="G22" s="2">
        <f>SUM(C22:F22)</f>
        <v>81764</v>
      </c>
      <c r="H22" s="11" t="str">
        <f>IF(G22&gt;$I$17,"Get Bonus","No Bonus")</f>
        <v>No Bonus</v>
      </c>
      <c r="I22" s="11">
        <f>IF(G22&gt;$I$17,G22*$J$17,0)</f>
        <v>0</v>
      </c>
      <c r="J22" s="11">
        <f>IF(G22&gt;$I$17,G22*$J$17+A22,A22)</f>
        <v>20000</v>
      </c>
    </row>
    <row r="23" spans="1:14" x14ac:dyDescent="0.3">
      <c r="A23" s="3">
        <v>35000</v>
      </c>
      <c r="B23" s="4" t="s">
        <v>23</v>
      </c>
      <c r="C23" s="3">
        <v>24382</v>
      </c>
      <c r="D23" s="3">
        <v>24382</v>
      </c>
      <c r="E23" s="3">
        <v>10000</v>
      </c>
      <c r="F23" s="3">
        <v>24382</v>
      </c>
      <c r="G23" s="2">
        <f t="shared" ref="G23:G26" si="1">SUM(C23:F23)</f>
        <v>83146</v>
      </c>
      <c r="H23" s="11" t="str">
        <f>IF(G23&gt;$I$17,"Get Bonus","No Bonus")</f>
        <v>No Bonus</v>
      </c>
      <c r="I23" s="11">
        <f>IF(G23&gt;$I$17,G23*$J$17,0)</f>
        <v>0</v>
      </c>
      <c r="J23" s="11">
        <f>IF(G23&gt;$I$17,G23*$J$17+A23,A23)</f>
        <v>35000</v>
      </c>
    </row>
    <row r="24" spans="1:14" x14ac:dyDescent="0.3">
      <c r="A24" s="3">
        <v>40000</v>
      </c>
      <c r="B24" s="4" t="s">
        <v>24</v>
      </c>
      <c r="C24" s="3">
        <v>23088</v>
      </c>
      <c r="D24" s="3">
        <v>25110</v>
      </c>
      <c r="E24" s="3">
        <v>21498</v>
      </c>
      <c r="F24" s="3">
        <v>15998</v>
      </c>
      <c r="G24" s="2">
        <f t="shared" si="1"/>
        <v>85694</v>
      </c>
      <c r="H24" s="11" t="str">
        <f>IF(G24&gt;$I$17,"Get Bonus","No Bonus")</f>
        <v>Get Bonus</v>
      </c>
      <c r="I24" s="11">
        <f>IF(G24&gt;$I$17,G24*$J$17,0)</f>
        <v>4284.7</v>
      </c>
      <c r="J24" s="11">
        <f>IF(G24&gt;$I$17,G24*$J$17+A24,A24)</f>
        <v>44284.7</v>
      </c>
    </row>
    <row r="25" spans="1:14" x14ac:dyDescent="0.3">
      <c r="A25" s="3">
        <v>25000</v>
      </c>
      <c r="B25" s="4" t="s">
        <v>25</v>
      </c>
      <c r="C25" s="3">
        <v>20725</v>
      </c>
      <c r="D25" s="3">
        <v>25321</v>
      </c>
      <c r="E25" s="3">
        <v>19312</v>
      </c>
      <c r="F25" s="3">
        <v>28131</v>
      </c>
      <c r="G25" s="2">
        <f t="shared" si="1"/>
        <v>93489</v>
      </c>
      <c r="H25" s="11" t="str">
        <f>IF(G25&gt;$I$17,"Get Bonus","No Bonus")</f>
        <v>Get Bonus</v>
      </c>
      <c r="I25" s="11">
        <f>IF(G25&gt;$I$17,G25*$J$17,0)</f>
        <v>4674.45</v>
      </c>
      <c r="J25" s="11">
        <f>IF(G25&gt;$I$17,G25*$J$17+A25,A25)</f>
        <v>29674.45</v>
      </c>
    </row>
    <row r="26" spans="1:14" x14ac:dyDescent="0.3">
      <c r="A26" s="3">
        <v>27000</v>
      </c>
      <c r="B26" s="4" t="s">
        <v>26</v>
      </c>
      <c r="C26" s="3">
        <v>15762</v>
      </c>
      <c r="D26" s="3">
        <v>17759</v>
      </c>
      <c r="E26" s="3">
        <v>16690</v>
      </c>
      <c r="F26" s="3">
        <v>27171</v>
      </c>
      <c r="G26" s="2">
        <f t="shared" si="1"/>
        <v>77382</v>
      </c>
      <c r="H26" s="11" t="str">
        <f>IF(G26&gt;$I$17,"Get Bonus","No Bonus")</f>
        <v>No Bonus</v>
      </c>
      <c r="I26" s="11">
        <f>IF(G26&gt;$I$17,G26*$J$17,0)</f>
        <v>0</v>
      </c>
      <c r="J26" s="11">
        <f>IF(G26&gt;$I$17,G26*$J$17+A26,A26)</f>
        <v>27000</v>
      </c>
    </row>
    <row r="27" spans="1:14" ht="16.2" customHeight="1" x14ac:dyDescent="0.3"/>
    <row r="28" spans="1:14" ht="18" customHeight="1" x14ac:dyDescent="0.3">
      <c r="F28" s="14" t="s">
        <v>16</v>
      </c>
      <c r="G28" s="2">
        <f>SUM(G22:G26)</f>
        <v>421475</v>
      </c>
      <c r="I28" s="19" t="s">
        <v>37</v>
      </c>
      <c r="J28" s="19"/>
    </row>
    <row r="29" spans="1:14" ht="18.600000000000001" customHeight="1" x14ac:dyDescent="0.3">
      <c r="B29" s="5"/>
      <c r="F29" s="14" t="s">
        <v>38</v>
      </c>
      <c r="G29" s="2">
        <f>AVERAGE(G22:G26)</f>
        <v>84295</v>
      </c>
      <c r="I29" s="20" t="str">
        <f>IF(AND(G28&gt;L16,G29&gt;L19),"Get 15K Bonus","Better Luck Next Time")</f>
        <v>Better Luck Next Time</v>
      </c>
      <c r="J29" s="20"/>
    </row>
    <row r="30" spans="1:14" ht="21" customHeight="1" x14ac:dyDescent="0.3">
      <c r="B30" s="5"/>
      <c r="F30" s="14" t="s">
        <v>39</v>
      </c>
      <c r="G30" s="2">
        <f>MAX(G22:G26)</f>
        <v>93489</v>
      </c>
    </row>
    <row r="31" spans="1:14" ht="18" customHeight="1" x14ac:dyDescent="0.3">
      <c r="B31" s="5"/>
      <c r="F31" s="14" t="s">
        <v>40</v>
      </c>
      <c r="G31" s="2">
        <f>MIN(G22:G26)</f>
        <v>77382</v>
      </c>
    </row>
    <row r="32" spans="1:14" x14ac:dyDescent="0.3">
      <c r="B32" s="5"/>
    </row>
  </sheetData>
  <autoFilter ref="A21:J26" xr:uid="{AA4869C7-6BED-483C-981E-E5BFE5BDBE18}"/>
  <mergeCells count="6">
    <mergeCell ref="I29:J29"/>
    <mergeCell ref="L18:N18"/>
    <mergeCell ref="L19:N19"/>
    <mergeCell ref="L16:N16"/>
    <mergeCell ref="L15:N15"/>
    <mergeCell ref="I28:J28"/>
  </mergeCells>
  <phoneticPr fontId="4" type="noConversion"/>
  <conditionalFormatting sqref="G5:G14">
    <cfRule type="containsText" dxfId="0" priority="1" operator="containsText" text="Fail">
      <formula>NOT(ISERROR(SEARCH("Fail",G5)))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FC3E-DA2A-46D0-BA96-505AE2A855C6}">
  <dimension ref="A1:D27"/>
  <sheetViews>
    <sheetView workbookViewId="0">
      <selection activeCell="D8" sqref="D8"/>
    </sheetView>
  </sheetViews>
  <sheetFormatPr defaultColWidth="10.6640625" defaultRowHeight="14.4" x14ac:dyDescent="0.3"/>
  <cols>
    <col min="1" max="1" width="10.6640625" style="1"/>
    <col min="2" max="2" width="12" style="1" bestFit="1" customWidth="1"/>
    <col min="3" max="3" width="3.33203125" customWidth="1"/>
    <col min="4" max="4" width="105.6640625" bestFit="1" customWidth="1"/>
  </cols>
  <sheetData>
    <row r="1" spans="1:2" x14ac:dyDescent="0.3">
      <c r="A1" s="12" t="s">
        <v>41</v>
      </c>
      <c r="B1" s="12" t="s">
        <v>42</v>
      </c>
    </row>
    <row r="2" spans="1:2" x14ac:dyDescent="0.3">
      <c r="A2" s="3">
        <v>35</v>
      </c>
      <c r="B2" s="16" t="str" cm="1">
        <f t="array" ref="B2">_xlfn.IFS(A2&gt;=70,"Senior Citizen",A2&gt;=60,"60-69",A2&gt;=50,"50-59",A2&gt;=40,"40-49",A2&gt;=30,"30-39",A2&gt;=20,"20-29")</f>
        <v>30-39</v>
      </c>
    </row>
    <row r="3" spans="1:2" x14ac:dyDescent="0.3">
      <c r="A3" s="3">
        <v>39</v>
      </c>
      <c r="B3" s="16" t="str" cm="1">
        <f t="array" ref="B3">_xlfn.IFS(A3&gt;=70,"Senior Citizen",A3&gt;=60,"60-69",A3&gt;=50,"50-59",A3&gt;=40,"40-49",A3&gt;=30,"30-39",A3&gt;=20,"20-29")</f>
        <v>30-39</v>
      </c>
    </row>
    <row r="4" spans="1:2" x14ac:dyDescent="0.3">
      <c r="A4" s="3">
        <v>33</v>
      </c>
      <c r="B4" s="16" t="str" cm="1">
        <f t="array" ref="B4">_xlfn.IFS(A4&gt;=70,"Senior Citizen",A4&gt;=60,"60-69",A4&gt;=50,"50-59",A4&gt;=40,"40-49",A4&gt;=30,"30-39",A4&gt;=20,"20-29")</f>
        <v>30-39</v>
      </c>
    </row>
    <row r="5" spans="1:2" x14ac:dyDescent="0.3">
      <c r="A5" s="3">
        <v>20</v>
      </c>
      <c r="B5" s="16" t="str" cm="1">
        <f t="array" ref="B5">_xlfn.IFS(A5&gt;=70,"Senior Citizen",A5&gt;=60,"60-69",A5&gt;=50,"50-59",A5&gt;=40,"40-49",A5&gt;=30,"30-39",A5&gt;=20,"20-29")</f>
        <v>20-29</v>
      </c>
    </row>
    <row r="6" spans="1:2" x14ac:dyDescent="0.3">
      <c r="A6" s="3">
        <v>47</v>
      </c>
      <c r="B6" s="16" t="str" cm="1">
        <f t="array" ref="B6">_xlfn.IFS(A6&gt;=70,"Senior Citizen",A6&gt;=60,"60-69",A6&gt;=50,"50-59",A6&gt;=40,"40-49",A6&gt;=30,"30-39",A6&gt;=20,"20-29")</f>
        <v>40-49</v>
      </c>
    </row>
    <row r="7" spans="1:2" x14ac:dyDescent="0.3">
      <c r="A7" s="3">
        <v>64</v>
      </c>
      <c r="B7" s="16" t="str" cm="1">
        <f t="array" ref="B7">_xlfn.IFS(A7&gt;=70,"Senior Citizen",A7&gt;=60,"60-69",A7&gt;=50,"50-59",A7&gt;=40,"40-49",A7&gt;=30,"30-39",A7&gt;=20,"20-29")</f>
        <v>60-69</v>
      </c>
    </row>
    <row r="8" spans="1:2" x14ac:dyDescent="0.3">
      <c r="A8" s="3">
        <v>58</v>
      </c>
      <c r="B8" s="16" t="str" cm="1">
        <f t="array" ref="B8">_xlfn.IFS(A8&gt;=70,"Senior Citizen",A8&gt;=60,"60-69",A8&gt;=50,"50-59",A8&gt;=40,"40-49",A8&gt;=30,"30-39",A8&gt;=20,"20-29")</f>
        <v>50-59</v>
      </c>
    </row>
    <row r="9" spans="1:2" x14ac:dyDescent="0.3">
      <c r="A9" s="3">
        <v>62</v>
      </c>
      <c r="B9" s="16" t="str" cm="1">
        <f t="array" ref="B9">_xlfn.IFS(A9&gt;=70,"Senior Citizen",A9&gt;=60,"60-69",A9&gt;=50,"50-59",A9&gt;=40,"40-49",A9&gt;=30,"30-39",A9&gt;=20,"20-29")</f>
        <v>60-69</v>
      </c>
    </row>
    <row r="10" spans="1:2" x14ac:dyDescent="0.3">
      <c r="A10" s="3">
        <v>67</v>
      </c>
      <c r="B10" s="16" t="str" cm="1">
        <f t="array" ref="B10">_xlfn.IFS(A10&gt;=70,"Senior Citizen",A10&gt;=60,"60-69",A10&gt;=50,"50-59",A10&gt;=40,"40-49",A10&gt;=30,"30-39",A10&gt;=20,"20-29")</f>
        <v>60-69</v>
      </c>
    </row>
    <row r="11" spans="1:2" x14ac:dyDescent="0.3">
      <c r="A11" s="3">
        <v>51</v>
      </c>
      <c r="B11" s="16" t="str" cm="1">
        <f t="array" ref="B11">_xlfn.IFS(A11&gt;=70,"Senior Citizen",A11&gt;=60,"60-69",A11&gt;=50,"50-59",A11&gt;=40,"40-49",A11&gt;=30,"30-39",A11&gt;=20,"20-29")</f>
        <v>50-59</v>
      </c>
    </row>
    <row r="12" spans="1:2" x14ac:dyDescent="0.3">
      <c r="A12" s="3">
        <v>24</v>
      </c>
      <c r="B12" s="16" t="str" cm="1">
        <f t="array" ref="B12">_xlfn.IFS(A12&gt;=70,"Senior Citizen",A12&gt;=60,"60-69",A12&gt;=50,"50-59",A12&gt;=40,"40-49",A12&gt;=30,"30-39",A12&gt;=20,"20-29")</f>
        <v>20-29</v>
      </c>
    </row>
    <row r="13" spans="1:2" x14ac:dyDescent="0.3">
      <c r="A13" s="3">
        <v>61</v>
      </c>
      <c r="B13" s="16" t="str" cm="1">
        <f t="array" ref="B13">_xlfn.IFS(A13&gt;=70,"Senior Citizen",A13&gt;=60,"60-69",A13&gt;=50,"50-59",A13&gt;=40,"40-49",A13&gt;=30,"30-39",A13&gt;=20,"20-29")</f>
        <v>60-69</v>
      </c>
    </row>
    <row r="14" spans="1:2" x14ac:dyDescent="0.3">
      <c r="A14" s="3">
        <v>39</v>
      </c>
      <c r="B14" s="16" t="str" cm="1">
        <f t="array" ref="B14">_xlfn.IFS(A14&gt;=70,"Senior Citizen",A14&gt;=60,"60-69",A14&gt;=50,"50-59",A14&gt;=40,"40-49",A14&gt;=30,"30-39",A14&gt;=20,"20-29")</f>
        <v>30-39</v>
      </c>
    </row>
    <row r="15" spans="1:2" x14ac:dyDescent="0.3">
      <c r="A15" s="3">
        <v>31</v>
      </c>
      <c r="B15" s="16" t="str" cm="1">
        <f t="array" ref="B15">_xlfn.IFS(A15&gt;=70,"Senior Citizen",A15&gt;=60,"60-69",A15&gt;=50,"50-59",A15&gt;=40,"40-49",A15&gt;=30,"30-39",A15&gt;=20,"20-29")</f>
        <v>30-39</v>
      </c>
    </row>
    <row r="16" spans="1:2" x14ac:dyDescent="0.3">
      <c r="A16" s="3">
        <v>37</v>
      </c>
      <c r="B16" s="16" t="str" cm="1">
        <f t="array" ref="B16">_xlfn.IFS(A16&gt;=70,"Senior Citizen",A16&gt;=60,"60-69",A16&gt;=50,"50-59",A16&gt;=40,"40-49",A16&gt;=30,"30-39",A16&gt;=20,"20-29")</f>
        <v>30-39</v>
      </c>
    </row>
    <row r="17" spans="1:4" x14ac:dyDescent="0.3">
      <c r="A17" s="3">
        <v>20</v>
      </c>
      <c r="B17" s="16" t="str" cm="1">
        <f t="array" ref="B17">_xlfn.IFS(A17&gt;=70,"Senior Citizen",A17&gt;=60,"60-69",A17&gt;=50,"50-59",A17&gt;=40,"40-49",A17&gt;=30,"30-39",A17&gt;=20,"20-29")</f>
        <v>20-29</v>
      </c>
      <c r="D17" t="s">
        <v>48</v>
      </c>
    </row>
    <row r="18" spans="1:4" x14ac:dyDescent="0.3">
      <c r="A18" s="3">
        <v>70</v>
      </c>
      <c r="B18" s="16" t="str" cm="1">
        <f t="array" ref="B18">_xlfn.IFS(A18&gt;=70,"Senior Citizen",A18&gt;=60,"60-69",A18&gt;=50,"50-59",A18&gt;=40,"40-49",A18&gt;=30,"30-39",A18&gt;=20,"20-29")</f>
        <v>Senior Citizen</v>
      </c>
    </row>
    <row r="19" spans="1:4" x14ac:dyDescent="0.3">
      <c r="A19" s="3">
        <v>26</v>
      </c>
      <c r="B19" s="16" t="str" cm="1">
        <f t="array" ref="B19">_xlfn.IFS(A19&gt;=70,"Senior Citizen",A19&gt;=60,"60-69",A19&gt;=50,"50-59",A19&gt;=40,"40-49",A19&gt;=30,"30-39",A19&gt;=20,"20-29")</f>
        <v>20-29</v>
      </c>
    </row>
    <row r="20" spans="1:4" x14ac:dyDescent="0.3">
      <c r="A20" s="3">
        <v>46</v>
      </c>
      <c r="B20" s="16" t="str" cm="1">
        <f t="array" ref="B20">_xlfn.IFS(A20&gt;=70,"Senior Citizen",A20&gt;=60,"60-69",A20&gt;=50,"50-59",A20&gt;=40,"40-49",A20&gt;=30,"30-39",A20&gt;=20,"20-29")</f>
        <v>40-49</v>
      </c>
    </row>
    <row r="21" spans="1:4" x14ac:dyDescent="0.3">
      <c r="A21" s="3">
        <v>23</v>
      </c>
      <c r="B21" s="16" t="str" cm="1">
        <f t="array" ref="B21">_xlfn.IFS(A21&gt;=70,"Senior Citizen",A21&gt;=60,"60-69",A21&gt;=50,"50-59",A21&gt;=40,"40-49",A21&gt;=30,"30-39",A21&gt;=20,"20-29")</f>
        <v>20-29</v>
      </c>
    </row>
    <row r="22" spans="1:4" x14ac:dyDescent="0.3">
      <c r="A22" s="3">
        <v>55</v>
      </c>
      <c r="B22" s="16" t="str" cm="1">
        <f t="array" ref="B22">_xlfn.IFS(A22&gt;=70,"Senior Citizen",A22&gt;=60,"60-69",A22&gt;=50,"50-59",A22&gt;=40,"40-49",A22&gt;=30,"30-39",A22&gt;=20,"20-29")</f>
        <v>50-59</v>
      </c>
    </row>
    <row r="23" spans="1:4" x14ac:dyDescent="0.3">
      <c r="A23" s="3">
        <v>32</v>
      </c>
      <c r="B23" s="16" t="str" cm="1">
        <f t="array" ref="B23">_xlfn.IFS(A23&gt;=70,"Senior Citizen",A23&gt;=60,"60-69",A23&gt;=50,"50-59",A23&gt;=40,"40-49",A23&gt;=30,"30-39",A23&gt;=20,"20-29")</f>
        <v>30-39</v>
      </c>
    </row>
    <row r="24" spans="1:4" x14ac:dyDescent="0.3">
      <c r="A24" s="3">
        <v>39</v>
      </c>
      <c r="B24" s="16" t="str" cm="1">
        <f t="array" ref="B24">_xlfn.IFS(A24&gt;=70,"Senior Citizen",A24&gt;=60,"60-69",A24&gt;=50,"50-59",A24&gt;=40,"40-49",A24&gt;=30,"30-39",A24&gt;=20,"20-29")</f>
        <v>30-39</v>
      </c>
    </row>
    <row r="25" spans="1:4" x14ac:dyDescent="0.3">
      <c r="A25" s="3">
        <v>32</v>
      </c>
      <c r="B25" s="16" t="str" cm="1">
        <f t="array" ref="B25">_xlfn.IFS(A25&gt;=70,"Senior Citizen",A25&gt;=60,"60-69",A25&gt;=50,"50-59",A25&gt;=40,"40-49",A25&gt;=30,"30-39",A25&gt;=20,"20-29")</f>
        <v>30-39</v>
      </c>
    </row>
    <row r="26" spans="1:4" x14ac:dyDescent="0.3">
      <c r="A26" s="3">
        <v>58</v>
      </c>
      <c r="B26" s="16" t="str" cm="1">
        <f t="array" ref="B26">_xlfn.IFS(A26&gt;=70,"Senior Citizen",A26&gt;=60,"60-69",A26&gt;=50,"50-59",A26&gt;=40,"40-49",A26&gt;=30,"30-39",A26&gt;=20,"20-29")</f>
        <v>50-59</v>
      </c>
    </row>
    <row r="27" spans="1:4" x14ac:dyDescent="0.3">
      <c r="A27" s="3">
        <v>61</v>
      </c>
      <c r="B27" s="16" t="str" cm="1">
        <f t="array" ref="B27">_xlfn.IFS(A27&gt;=70,"Senior Citizen",A27&gt;=60,"60-69",A27&gt;=50,"50-59",A27&gt;=40,"40-49",A27&gt;=30,"30-39",A27&gt;=20,"20-29")</f>
        <v>60-69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IFS</vt:lpstr>
      <vt:lpstr>Age Group (IFs)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Sagor</dc:creator>
  <cp:lastModifiedBy>Office</cp:lastModifiedBy>
  <dcterms:created xsi:type="dcterms:W3CDTF">2026-06-14T08:11:07Z</dcterms:created>
  <dcterms:modified xsi:type="dcterms:W3CDTF">2026-06-20T14:14:03Z</dcterms:modified>
</cp:coreProperties>
</file>