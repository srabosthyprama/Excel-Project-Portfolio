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 Related Files\Portfolio\Excel\Excel Lookup &amp; Logical Functions\Practiced Excel Lookup &amp; Logical Functions\"/>
    </mc:Choice>
  </mc:AlternateContent>
  <xr:revisionPtr revIDLastSave="0" documentId="13_ncr:1_{75214426-B259-49E4-A355-8457CDC86FAD}" xr6:coauthVersionLast="47" xr6:coauthVersionMax="47" xr10:uidLastSave="{00000000-0000-0000-0000-000000000000}"/>
  <bookViews>
    <workbookView xWindow="-108" yWindow="-108" windowWidth="23256" windowHeight="12456" tabRatio="920" firstSheet="3" activeTab="9" xr2:uid="{58A82F2F-A7E0-4B6B-9157-0BB330ACBDA9}"/>
  </bookViews>
  <sheets>
    <sheet name="Xlookup Basic" sheetId="1" r:id="rId1"/>
    <sheet name="Xlookup All Data" sheetId="3" r:id="rId2"/>
    <sheet name="Xlookup Multiple Record Match" sheetId="6" r:id="rId3"/>
    <sheet name="Xlookup + Transpose" sheetId="4" r:id="rId4"/>
    <sheet name="Xlookup with CHOOSE" sheetId="5" r:id="rId5"/>
    <sheet name="Xlookup  with CHOOSECOLS" sheetId="13" r:id="rId6"/>
    <sheet name="Two Way Xlookup" sheetId="8" r:id="rId7"/>
    <sheet name="Nested Xlookup" sheetId="9" r:id="rId8"/>
    <sheet name="Xlookup + Trim" sheetId="11" r:id="rId9"/>
    <sheet name="Real Problem" sheetId="1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4" l="1" a="1"/>
  <c r="C27" i="14" s="1"/>
  <c r="C28" i="14" a="1"/>
  <c r="C28" i="14" s="1"/>
  <c r="C29" i="14" a="1"/>
  <c r="C29" i="14" s="1"/>
  <c r="C30" i="14" a="1"/>
  <c r="C30" i="14" s="1"/>
  <c r="C31" i="14" a="1"/>
  <c r="C31" i="14" s="1"/>
  <c r="C32" i="14" a="1"/>
  <c r="C32" i="14" s="1"/>
  <c r="C33" i="14" a="1"/>
  <c r="C33" i="14" s="1"/>
  <c r="C34" i="14" a="1"/>
  <c r="C34" i="14" s="1"/>
  <c r="C35" i="14" a="1"/>
  <c r="C35" i="14" s="1"/>
  <c r="C36" i="14" a="1"/>
  <c r="C36" i="14" s="1"/>
  <c r="C37" i="14" a="1"/>
  <c r="C37" i="14" s="1"/>
  <c r="C38" i="14" a="1"/>
  <c r="C38" i="14" s="1"/>
  <c r="C39" i="14" a="1"/>
  <c r="C39" i="14" s="1"/>
  <c r="C40" i="14" a="1"/>
  <c r="C40" i="14" s="1"/>
  <c r="C41" i="14" a="1"/>
  <c r="C41" i="14" s="1"/>
  <c r="C42" i="14" a="1"/>
  <c r="C42" i="14" s="1"/>
  <c r="C43" i="14" a="1"/>
  <c r="C43" i="14" s="1"/>
  <c r="C44" i="14" a="1"/>
  <c r="C44" i="14" s="1"/>
  <c r="C45" i="14" a="1"/>
  <c r="C45" i="14" s="1"/>
  <c r="C26" i="14" a="1"/>
  <c r="C26" i="14" s="1"/>
  <c r="C15" i="11" a="1"/>
  <c r="C15" i="11"/>
  <c r="C21" i="9" a="1"/>
  <c r="C21" i="9" s="1"/>
  <c r="C15" i="8" a="1"/>
  <c r="C15" i="8" s="1"/>
  <c r="C19" i="13" a="1"/>
  <c r="C19" i="13" s="1"/>
  <c r="C16" i="13" a="1"/>
  <c r="C16" i="13" s="1"/>
  <c r="L10" i="6" a="1"/>
  <c r="L10" i="6" s="1"/>
  <c r="L9" i="6" a="1"/>
  <c r="L9" i="6" s="1"/>
  <c r="L5" i="6" a="1"/>
  <c r="L5" i="6" s="1"/>
  <c r="L6" i="6" a="1"/>
  <c r="L6" i="6" s="1"/>
  <c r="L4" i="6" a="1"/>
  <c r="L4" i="6" s="1"/>
  <c r="C16" i="5" a="1"/>
  <c r="C16" i="5" s="1"/>
  <c r="K4" i="4" a="1"/>
  <c r="K4" i="4" s="1"/>
  <c r="C15" i="3" a="1"/>
  <c r="C15" i="3" s="1"/>
  <c r="K12" i="1"/>
  <c r="K8" i="1"/>
  <c r="K4" i="1"/>
  <c r="H12" i="8"/>
  <c r="H11" i="8"/>
  <c r="H10" i="8"/>
  <c r="H9" i="8"/>
  <c r="H8" i="8"/>
  <c r="H7" i="8"/>
  <c r="H6" i="8"/>
  <c r="H5" i="8"/>
  <c r="H4" i="8"/>
  <c r="H5" i="1"/>
  <c r="H6" i="1"/>
  <c r="H7" i="1"/>
  <c r="H8" i="1"/>
  <c r="H9" i="1"/>
  <c r="H10" i="1"/>
  <c r="H11" i="1"/>
  <c r="H12" i="1"/>
  <c r="H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<sst xmlns="http://schemas.openxmlformats.org/spreadsheetml/2006/main" count="698" uniqueCount="181">
  <si>
    <t>Order ID</t>
  </si>
  <si>
    <t>Cust ID</t>
  </si>
  <si>
    <t>Customer Name</t>
  </si>
  <si>
    <t>Product Name</t>
  </si>
  <si>
    <t>Qty</t>
  </si>
  <si>
    <t>Unit Price</t>
  </si>
  <si>
    <t>Total Sale</t>
  </si>
  <si>
    <t>ORD001</t>
  </si>
  <si>
    <t>CU01</t>
  </si>
  <si>
    <t>Manish Jain</t>
  </si>
  <si>
    <t>Headphones</t>
  </si>
  <si>
    <t>ORD002</t>
  </si>
  <si>
    <t>CU02</t>
  </si>
  <si>
    <t>Priya Singh</t>
  </si>
  <si>
    <t>Chair</t>
  </si>
  <si>
    <t>ORD003</t>
  </si>
  <si>
    <t>CU03</t>
  </si>
  <si>
    <t>Rahul Mehta</t>
  </si>
  <si>
    <t>Table</t>
  </si>
  <si>
    <t>CU04</t>
  </si>
  <si>
    <t>Anjali Gupta</t>
  </si>
  <si>
    <t>USB Cable</t>
  </si>
  <si>
    <t>ORD005</t>
  </si>
  <si>
    <t>CU05</t>
  </si>
  <si>
    <t>Pooja Rao</t>
  </si>
  <si>
    <t>Charger</t>
  </si>
  <si>
    <t>ORD006</t>
  </si>
  <si>
    <t>CU06</t>
  </si>
  <si>
    <t>Kiran Joshi</t>
  </si>
  <si>
    <t>ORD007</t>
  </si>
  <si>
    <t>CU07</t>
  </si>
  <si>
    <t>Sneha Verma</t>
  </si>
  <si>
    <t>Tablet</t>
  </si>
  <si>
    <t>ORD008</t>
  </si>
  <si>
    <t>CU08</t>
  </si>
  <si>
    <t>Power Bank</t>
  </si>
  <si>
    <t>ORD009</t>
  </si>
  <si>
    <t>CU09</t>
  </si>
  <si>
    <t>ORD010</t>
  </si>
  <si>
    <t>CU10</t>
  </si>
  <si>
    <t>ORD011</t>
  </si>
  <si>
    <t>CU11</t>
  </si>
  <si>
    <t>ORD012</t>
  </si>
  <si>
    <t>CU12</t>
  </si>
  <si>
    <t>ORD013</t>
  </si>
  <si>
    <t>CU13</t>
  </si>
  <si>
    <t>ORD014</t>
  </si>
  <si>
    <t>CU14</t>
  </si>
  <si>
    <t>CU15</t>
  </si>
  <si>
    <t>CU16</t>
  </si>
  <si>
    <t>ORD015</t>
  </si>
  <si>
    <t>ORD016</t>
  </si>
  <si>
    <t>ORD004</t>
  </si>
  <si>
    <t>ORD0010</t>
  </si>
  <si>
    <t>ORD0011</t>
  </si>
  <si>
    <t>CU073</t>
  </si>
  <si>
    <t>Rahim Uddin</t>
  </si>
  <si>
    <t>Karim Hossain</t>
  </si>
  <si>
    <t>Salma Akter</t>
  </si>
  <si>
    <t>Anika Begum</t>
  </si>
  <si>
    <t>Tariq Khan</t>
  </si>
  <si>
    <t>Farhan Ahmed</t>
  </si>
  <si>
    <t>Nabila Rahman</t>
  </si>
  <si>
    <t>Rafiq Islam</t>
  </si>
  <si>
    <t>Sabina Yasmin</t>
  </si>
  <si>
    <t>Jamal Uddin</t>
  </si>
  <si>
    <t>Anwar Hossain</t>
  </si>
  <si>
    <t>Nusrat Jahan</t>
  </si>
  <si>
    <t>Tanvir Ahmed</t>
  </si>
  <si>
    <t>Shabnam Akter</t>
  </si>
  <si>
    <t>Imran Karim</t>
  </si>
  <si>
    <t>Ayesha Siddique</t>
  </si>
  <si>
    <t xml:space="preserve">ORD007 </t>
  </si>
  <si>
    <t xml:space="preserve">ORD005 </t>
  </si>
  <si>
    <t xml:space="preserve">ORD002 </t>
  </si>
  <si>
    <t>Customer_ID</t>
  </si>
  <si>
    <t>Full_Name</t>
  </si>
  <si>
    <t>Gender</t>
  </si>
  <si>
    <t>DOB</t>
  </si>
  <si>
    <t>Family_Member_Qty</t>
  </si>
  <si>
    <t>City</t>
  </si>
  <si>
    <t>Division</t>
  </si>
  <si>
    <t>Registration_Date</t>
  </si>
  <si>
    <t>Phone_Number</t>
  </si>
  <si>
    <t>C1000</t>
  </si>
  <si>
    <t>Female</t>
  </si>
  <si>
    <t>Rangpur Sadar</t>
  </si>
  <si>
    <t>Rangpur</t>
  </si>
  <si>
    <t>+880122285197</t>
  </si>
  <si>
    <t>C1001</t>
  </si>
  <si>
    <t>Subidbazar</t>
  </si>
  <si>
    <t>Sylhet</t>
  </si>
  <si>
    <t>+880159679341</t>
  </si>
  <si>
    <t>C1002</t>
  </si>
  <si>
    <t>Male</t>
  </si>
  <si>
    <t>Shah Makhdum</t>
  </si>
  <si>
    <t>Rajshahi</t>
  </si>
  <si>
    <t>+880125575449</t>
  </si>
  <si>
    <t>C1003</t>
  </si>
  <si>
    <t>Kawran Bazar</t>
  </si>
  <si>
    <t>Barishal</t>
  </si>
  <si>
    <t>+880114884456</t>
  </si>
  <si>
    <t>C1004</t>
  </si>
  <si>
    <t>Gollamari</t>
  </si>
  <si>
    <t>Khulna</t>
  </si>
  <si>
    <t>+880191269394</t>
  </si>
  <si>
    <t>C1005</t>
  </si>
  <si>
    <t>Boalia</t>
  </si>
  <si>
    <t>+880112904003</t>
  </si>
  <si>
    <t>C1006</t>
  </si>
  <si>
    <t>+880136117555</t>
  </si>
  <si>
    <t>C1007</t>
  </si>
  <si>
    <t>Dhanmondi</t>
  </si>
  <si>
    <t>Dhaka</t>
  </si>
  <si>
    <t>+880134826513</t>
  </si>
  <si>
    <t>C1008</t>
  </si>
  <si>
    <t>+880126628927</t>
  </si>
  <si>
    <t>C1009</t>
  </si>
  <si>
    <t>Muktagachha</t>
  </si>
  <si>
    <t>Mymensingh</t>
  </si>
  <si>
    <t>+880174321652</t>
  </si>
  <si>
    <t>C1010</t>
  </si>
  <si>
    <t>Panchlaish</t>
  </si>
  <si>
    <t>Chattogram</t>
  </si>
  <si>
    <t>+880138263100</t>
  </si>
  <si>
    <t>C1011</t>
  </si>
  <si>
    <t>+880118198675</t>
  </si>
  <si>
    <t>C1012</t>
  </si>
  <si>
    <t>Sonadanga</t>
  </si>
  <si>
    <t>+880113057825</t>
  </si>
  <si>
    <t>C1013</t>
  </si>
  <si>
    <t>+880183046040</t>
  </si>
  <si>
    <t>C1014</t>
  </si>
  <si>
    <t>+880167125592</t>
  </si>
  <si>
    <t>C1015</t>
  </si>
  <si>
    <t>+880193295518</t>
  </si>
  <si>
    <t>C1016</t>
  </si>
  <si>
    <t>Hasan Mahmud</t>
  </si>
  <si>
    <t>Kaunia</t>
  </si>
  <si>
    <t>+880123623128</t>
  </si>
  <si>
    <t>C1017</t>
  </si>
  <si>
    <t>Lutfun Nahar</t>
  </si>
  <si>
    <t>Bakerganj</t>
  </si>
  <si>
    <t>+880144885857</t>
  </si>
  <si>
    <t>C1018</t>
  </si>
  <si>
    <t>Rashed Chowdhury</t>
  </si>
  <si>
    <t>Godagari</t>
  </si>
  <si>
    <t>+880119395818</t>
  </si>
  <si>
    <t>C1019</t>
  </si>
  <si>
    <t>Farida Parveen</t>
  </si>
  <si>
    <t>+880139639203</t>
  </si>
  <si>
    <t>Phone_Number_ Case 2</t>
  </si>
  <si>
    <t>122285197</t>
  </si>
  <si>
    <t>159679341</t>
  </si>
  <si>
    <t>125575449</t>
  </si>
  <si>
    <t>114884456</t>
  </si>
  <si>
    <t>191269394</t>
  </si>
  <si>
    <t>112904003</t>
  </si>
  <si>
    <t>136117555</t>
  </si>
  <si>
    <t>134826513</t>
  </si>
  <si>
    <t>126628927</t>
  </si>
  <si>
    <t>0174321652</t>
  </si>
  <si>
    <t>0138263100</t>
  </si>
  <si>
    <t>0118198675</t>
  </si>
  <si>
    <t>0113057825</t>
  </si>
  <si>
    <t>0183046040</t>
  </si>
  <si>
    <t>0167125592</t>
  </si>
  <si>
    <t>0193295518</t>
  </si>
  <si>
    <t>0123623128</t>
  </si>
  <si>
    <t>0144885857</t>
  </si>
  <si>
    <t>0119395818</t>
  </si>
  <si>
    <t>0139639203</t>
  </si>
  <si>
    <t>X-LOOKUP BASIC</t>
  </si>
  <si>
    <t>XLOOKUP ALL DATA</t>
  </si>
  <si>
    <t>XLOOKUP Multiple Records</t>
  </si>
  <si>
    <t>XLOOKUP + Transpose</t>
  </si>
  <si>
    <t>XLOOKUP Multiple Columns ( with choose)</t>
  </si>
  <si>
    <t>XLOOKUP Multiple Columns ( with choosecols)</t>
  </si>
  <si>
    <t>Two Way XLOOKUP</t>
  </si>
  <si>
    <t>XLOOKUP in Multiple Tables (Nested Xlookup)</t>
  </si>
  <si>
    <t>XLOOKUP + 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</si>
</sst>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2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0" fillId="0" borderId="1" xfId="0" applyNumberFormat="1" applyBorder="1"/>
    <xf numFmtId="0" fontId="2" fillId="3" borderId="1" xfId="0" applyFont="1" applyFill="1" applyBorder="1"/>
    <xf numFmtId="0" fontId="5" fillId="0" borderId="1" xfId="0" applyFont="1" applyBorder="1"/>
    <xf numFmtId="164" fontId="5" fillId="0" borderId="1" xfId="0" applyNumberFormat="1" applyFont="1" applyBorder="1"/>
    <xf numFmtId="1" fontId="5" fillId="0" borderId="1" xfId="0" applyNumberFormat="1" applyFont="1" applyBorder="1"/>
    <xf numFmtId="0" fontId="5" fillId="0" borderId="0" xfId="0" applyFont="1"/>
    <xf numFmtId="0" fontId="2" fillId="4" borderId="1" xfId="0" applyFont="1" applyFill="1" applyBorder="1"/>
    <xf numFmtId="0" fontId="3" fillId="6" borderId="1" xfId="0" applyFont="1" applyFill="1" applyBorder="1"/>
    <xf numFmtId="164" fontId="5" fillId="0" borderId="0" xfId="0" applyNumberFormat="1" applyFont="1"/>
    <xf numFmtId="1" fontId="5" fillId="0" borderId="0" xfId="0" applyNumberFormat="1" applyFont="1"/>
    <xf numFmtId="0" fontId="5" fillId="0" borderId="1" xfId="0" applyFont="1" applyBorder="1" applyAlignment="1">
      <alignment horizontal="center"/>
    </xf>
    <xf numFmtId="0" fontId="4" fillId="7" borderId="0" xfId="0" applyFont="1" applyFill="1" applyAlignment="1">
      <alignment horizontal="center" vertical="center"/>
    </xf>
    <xf numFmtId="0" fontId="6" fillId="0" borderId="1" xfId="0" applyFont="1" applyBorder="1"/>
    <xf numFmtId="164" fontId="6" fillId="0" borderId="2" xfId="0" applyNumberFormat="1" applyFont="1" applyBorder="1"/>
    <xf numFmtId="0" fontId="6" fillId="0" borderId="2" xfId="0" applyFont="1" applyBorder="1"/>
    <xf numFmtId="1" fontId="6" fillId="0" borderId="2" xfId="0" applyNumberFormat="1" applyFont="1" applyBorder="1"/>
    <xf numFmtId="0" fontId="6" fillId="0" borderId="4" xfId="0" applyFont="1" applyBorder="1"/>
    <xf numFmtId="164" fontId="6" fillId="0" borderId="3" xfId="0" applyNumberFormat="1" applyFont="1" applyBorder="1"/>
    <xf numFmtId="0" fontId="6" fillId="0" borderId="3" xfId="0" applyFont="1" applyBorder="1"/>
    <xf numFmtId="1" fontId="6" fillId="0" borderId="3" xfId="0" applyNumberFormat="1" applyFont="1" applyBorder="1"/>
    <xf numFmtId="0" fontId="5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1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center"/>
    </xf>
    <xf numFmtId="0" fontId="8" fillId="0" borderId="1" xfId="0" applyFont="1" applyBorder="1"/>
    <xf numFmtId="0" fontId="2" fillId="5" borderId="1" xfId="0" applyFont="1" applyFill="1" applyBorder="1"/>
    <xf numFmtId="0" fontId="9" fillId="6" borderId="1" xfId="0" applyFont="1" applyFill="1" applyBorder="1" applyAlignment="1">
      <alignment horizontal="center" vertical="top"/>
    </xf>
    <xf numFmtId="14" fontId="9" fillId="6" borderId="1" xfId="0" applyNumberFormat="1" applyFont="1" applyFill="1" applyBorder="1" applyAlignment="1">
      <alignment horizontal="center" vertical="top"/>
    </xf>
    <xf numFmtId="14" fontId="8" fillId="0" borderId="1" xfId="0" applyNumberFormat="1" applyFont="1" applyBorder="1"/>
    <xf numFmtId="0" fontId="7" fillId="2" borderId="1" xfId="0" applyFont="1" applyFill="1" applyBorder="1" applyAlignment="1">
      <alignment horizontal="center" vertical="top"/>
    </xf>
    <xf numFmtId="14" fontId="7" fillId="2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78F2C-96B5-465B-B144-4D5714A0AD50}">
  <dimension ref="A1:K18"/>
  <sheetViews>
    <sheetView workbookViewId="0">
      <selection activeCell="D16" sqref="D16"/>
    </sheetView>
  </sheetViews>
  <sheetFormatPr defaultRowHeight="25.8" x14ac:dyDescent="0.5"/>
  <cols>
    <col min="1" max="1" width="3.234375" customWidth="1"/>
    <col min="2" max="2" width="5.234375" bestFit="1" customWidth="1"/>
    <col min="3" max="3" width="14.76171875" customWidth="1"/>
    <col min="4" max="4" width="5.76171875" customWidth="1"/>
    <col min="5" max="5" width="8.52734375" bestFit="1" customWidth="1"/>
    <col min="6" max="6" width="10.52734375" customWidth="1"/>
    <col min="7" max="7" width="6" bestFit="1" customWidth="1"/>
    <col min="8" max="8" width="5.87890625" bestFit="1" customWidth="1"/>
    <col min="9" max="9" width="10.1171875" customWidth="1"/>
    <col min="11" max="11" width="9.76171875" bestFit="1" customWidth="1"/>
  </cols>
  <sheetData>
    <row r="1" spans="1:11" x14ac:dyDescent="0.5">
      <c r="A1" s="12" t="s">
        <v>172</v>
      </c>
      <c r="B1" s="12"/>
      <c r="C1" s="12"/>
    </row>
    <row r="3" spans="1:11" x14ac:dyDescent="0.5">
      <c r="B3" s="8" t="s">
        <v>0</v>
      </c>
      <c r="C3" s="8" t="s">
        <v>2</v>
      </c>
      <c r="D3" s="8" t="s">
        <v>1</v>
      </c>
      <c r="E3" s="8" t="s">
        <v>3</v>
      </c>
      <c r="F3" s="8" t="s">
        <v>4</v>
      </c>
      <c r="G3" s="8" t="s">
        <v>5</v>
      </c>
      <c r="H3" s="8" t="s">
        <v>6</v>
      </c>
      <c r="J3" s="7" t="s">
        <v>0</v>
      </c>
      <c r="K3" s="7" t="s">
        <v>6</v>
      </c>
    </row>
    <row r="4" spans="1:11" x14ac:dyDescent="0.5">
      <c r="B4" s="3" t="s">
        <v>7</v>
      </c>
      <c r="C4" s="3" t="s">
        <v>56</v>
      </c>
      <c r="D4" s="4" t="s">
        <v>8</v>
      </c>
      <c r="E4" s="3" t="s">
        <v>10</v>
      </c>
      <c r="F4" s="3">
        <v>2</v>
      </c>
      <c r="G4" s="5">
        <v>2500</v>
      </c>
      <c r="H4" s="5">
        <f>G4*F4</f>
        <v>5000</v>
      </c>
      <c r="J4" s="3" t="s">
        <v>33</v>
      </c>
      <c r="K4" s="3">
        <f>_xlfn.XLOOKUP(J4,B3:B12,H3:H12,"",0)</f>
        <v>1500</v>
      </c>
    </row>
    <row r="5" spans="1:11" x14ac:dyDescent="0.5">
      <c r="B5" s="3" t="s">
        <v>11</v>
      </c>
      <c r="C5" s="3" t="s">
        <v>57</v>
      </c>
      <c r="D5" s="4" t="s">
        <v>12</v>
      </c>
      <c r="E5" s="3" t="s">
        <v>14</v>
      </c>
      <c r="F5" s="3">
        <v>2</v>
      </c>
      <c r="G5" s="5">
        <v>6000</v>
      </c>
      <c r="H5" s="5">
        <f t="shared" ref="H5:H12" si="0">G5*F5</f>
        <v>12000</v>
      </c>
    </row>
    <row r="6" spans="1:11" x14ac:dyDescent="0.5">
      <c r="B6" s="3" t="s">
        <v>15</v>
      </c>
      <c r="C6" s="3" t="s">
        <v>58</v>
      </c>
      <c r="D6" s="4" t="s">
        <v>16</v>
      </c>
      <c r="E6" s="3" t="s">
        <v>18</v>
      </c>
      <c r="F6" s="3">
        <v>1</v>
      </c>
      <c r="G6" s="5">
        <v>15000</v>
      </c>
      <c r="H6" s="5">
        <f t="shared" si="0"/>
        <v>15000</v>
      </c>
    </row>
    <row r="7" spans="1:11" x14ac:dyDescent="0.5">
      <c r="B7" s="3" t="s">
        <v>15</v>
      </c>
      <c r="C7" s="3" t="s">
        <v>59</v>
      </c>
      <c r="D7" s="4" t="s">
        <v>19</v>
      </c>
      <c r="E7" s="3" t="s">
        <v>21</v>
      </c>
      <c r="F7" s="3">
        <v>2</v>
      </c>
      <c r="G7" s="5">
        <v>150</v>
      </c>
      <c r="H7" s="5">
        <f t="shared" si="0"/>
        <v>300</v>
      </c>
      <c r="J7" s="7" t="s">
        <v>1</v>
      </c>
      <c r="K7" s="7" t="s">
        <v>2</v>
      </c>
    </row>
    <row r="8" spans="1:11" x14ac:dyDescent="0.5">
      <c r="B8" s="3" t="s">
        <v>22</v>
      </c>
      <c r="C8" s="3" t="s">
        <v>60</v>
      </c>
      <c r="D8" s="4" t="s">
        <v>23</v>
      </c>
      <c r="E8" s="3" t="s">
        <v>25</v>
      </c>
      <c r="F8" s="3">
        <v>3</v>
      </c>
      <c r="G8" s="5">
        <v>500</v>
      </c>
      <c r="H8" s="5">
        <f t="shared" si="0"/>
        <v>1500</v>
      </c>
      <c r="J8" s="4" t="s">
        <v>16</v>
      </c>
      <c r="K8" s="3" t="str">
        <f>_xlfn.XLOOKUP(J8,D3:D12,C3:C12,"",0)</f>
        <v>Salma Akter</v>
      </c>
    </row>
    <row r="9" spans="1:11" x14ac:dyDescent="0.5">
      <c r="B9" s="3" t="s">
        <v>26</v>
      </c>
      <c r="C9" s="3" t="s">
        <v>61</v>
      </c>
      <c r="D9" s="4" t="s">
        <v>27</v>
      </c>
      <c r="E9" s="3" t="s">
        <v>10</v>
      </c>
      <c r="F9" s="3">
        <v>4</v>
      </c>
      <c r="G9" s="5">
        <v>2500</v>
      </c>
      <c r="H9" s="5">
        <f t="shared" si="0"/>
        <v>10000</v>
      </c>
    </row>
    <row r="10" spans="1:11" x14ac:dyDescent="0.5">
      <c r="B10" s="3" t="s">
        <v>29</v>
      </c>
      <c r="C10" s="3" t="s">
        <v>62</v>
      </c>
      <c r="D10" s="4" t="s">
        <v>30</v>
      </c>
      <c r="E10" s="3" t="s">
        <v>32</v>
      </c>
      <c r="F10" s="3">
        <v>4</v>
      </c>
      <c r="G10" s="5">
        <v>20000</v>
      </c>
      <c r="H10" s="5">
        <f t="shared" si="0"/>
        <v>80000</v>
      </c>
    </row>
    <row r="11" spans="1:11" x14ac:dyDescent="0.5">
      <c r="B11" s="3" t="s">
        <v>33</v>
      </c>
      <c r="C11" s="3" t="s">
        <v>63</v>
      </c>
      <c r="D11" s="4" t="s">
        <v>34</v>
      </c>
      <c r="E11" s="3" t="s">
        <v>35</v>
      </c>
      <c r="F11" s="3">
        <v>1</v>
      </c>
      <c r="G11" s="5">
        <v>1500</v>
      </c>
      <c r="H11" s="5">
        <f t="shared" si="0"/>
        <v>1500</v>
      </c>
      <c r="J11" s="7" t="s">
        <v>1</v>
      </c>
      <c r="K11" s="7" t="s">
        <v>3</v>
      </c>
    </row>
    <row r="12" spans="1:11" x14ac:dyDescent="0.5">
      <c r="B12" s="3" t="s">
        <v>36</v>
      </c>
      <c r="C12" s="3" t="s">
        <v>64</v>
      </c>
      <c r="D12" s="4" t="s">
        <v>37</v>
      </c>
      <c r="E12" s="3" t="s">
        <v>25</v>
      </c>
      <c r="F12" s="3">
        <v>1</v>
      </c>
      <c r="G12" s="5">
        <v>500</v>
      </c>
      <c r="H12" s="5">
        <f t="shared" si="0"/>
        <v>500</v>
      </c>
      <c r="J12" s="4" t="s">
        <v>55</v>
      </c>
      <c r="K12" s="3" t="str">
        <f>_xlfn.XLOOKUP(J12,D3:D12,E3:E12,"Not Found",0)</f>
        <v>Not Found</v>
      </c>
    </row>
    <row r="13" spans="1:11" x14ac:dyDescent="0.5">
      <c r="B13" s="6"/>
      <c r="C13" s="6"/>
      <c r="D13" s="6"/>
      <c r="E13" s="6"/>
      <c r="F13" s="6"/>
      <c r="G13" s="6"/>
      <c r="H13" s="6"/>
    </row>
    <row r="14" spans="1:11" x14ac:dyDescent="0.5">
      <c r="D14" s="6"/>
      <c r="G14" s="6"/>
    </row>
    <row r="15" spans="1:11" x14ac:dyDescent="0.5">
      <c r="D15" s="6"/>
      <c r="G15" s="6"/>
    </row>
    <row r="16" spans="1:11" x14ac:dyDescent="0.5">
      <c r="B16" s="6"/>
      <c r="C16" s="6"/>
      <c r="D16" s="6"/>
      <c r="E16" s="6"/>
      <c r="F16" s="6"/>
      <c r="G16" s="6"/>
      <c r="H16" s="6"/>
    </row>
    <row r="17" spans="4:8" x14ac:dyDescent="0.5">
      <c r="D17" s="6"/>
      <c r="E17" s="6"/>
      <c r="F17" s="6"/>
      <c r="G17" s="6"/>
      <c r="H17" s="6"/>
    </row>
    <row r="18" spans="4:8" x14ac:dyDescent="0.5">
      <c r="D18" s="6"/>
      <c r="E18" s="6"/>
      <c r="F18" s="6"/>
      <c r="G18" s="6"/>
      <c r="H18" s="6"/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95BF-4CF7-4235-BCBE-F9717C0576B1}">
  <dimension ref="A1:H18"/>
  <sheetViews>
    <sheetView workbookViewId="0">
      <selection activeCell="C16" sqref="C16"/>
    </sheetView>
  </sheetViews>
  <sheetFormatPr defaultRowHeight="25.8" x14ac:dyDescent="0.5"/>
  <cols>
    <col min="1" max="1" width="3.234375" customWidth="1"/>
    <col min="2" max="2" width="8.234375" customWidth="1"/>
    <col min="3" max="3" width="11.41015625" customWidth="1"/>
    <col min="4" max="4" width="9.17578125" customWidth="1"/>
    <col min="5" max="5" width="10.52734375" customWidth="1"/>
    <col min="6" max="6" width="5.87890625" bestFit="1" customWidth="1"/>
    <col min="7" max="7" width="8.3515625" customWidth="1"/>
    <col min="8" max="8" width="9.3515625" customWidth="1"/>
  </cols>
  <sheetData>
    <row r="1" spans="1:8" x14ac:dyDescent="0.5">
      <c r="A1" s="12" t="s">
        <v>173</v>
      </c>
      <c r="B1" s="12"/>
      <c r="C1" s="12"/>
    </row>
    <row r="3" spans="1:8" x14ac:dyDescent="0.5">
      <c r="B3" s="8" t="s">
        <v>0</v>
      </c>
      <c r="C3" s="8" t="s">
        <v>2</v>
      </c>
      <c r="D3" s="8" t="s">
        <v>1</v>
      </c>
      <c r="E3" s="8" t="s">
        <v>3</v>
      </c>
      <c r="F3" s="8" t="s">
        <v>4</v>
      </c>
      <c r="G3" s="8" t="s">
        <v>5</v>
      </c>
      <c r="H3" s="8" t="s">
        <v>6</v>
      </c>
    </row>
    <row r="4" spans="1:8" x14ac:dyDescent="0.5">
      <c r="B4" s="3" t="s">
        <v>7</v>
      </c>
      <c r="C4" s="3" t="s">
        <v>56</v>
      </c>
      <c r="D4" s="4" t="s">
        <v>8</v>
      </c>
      <c r="E4" s="3" t="s">
        <v>10</v>
      </c>
      <c r="F4" s="3">
        <v>2</v>
      </c>
      <c r="G4" s="5">
        <v>2500</v>
      </c>
      <c r="H4" s="5">
        <v>5000</v>
      </c>
    </row>
    <row r="5" spans="1:8" x14ac:dyDescent="0.5">
      <c r="B5" s="3" t="s">
        <v>11</v>
      </c>
      <c r="C5" s="3" t="s">
        <v>57</v>
      </c>
      <c r="D5" s="4" t="s">
        <v>12</v>
      </c>
      <c r="E5" s="3" t="s">
        <v>14</v>
      </c>
      <c r="F5" s="3">
        <v>2</v>
      </c>
      <c r="G5" s="5">
        <v>6000</v>
      </c>
      <c r="H5" s="5">
        <v>12000</v>
      </c>
    </row>
    <row r="6" spans="1:8" x14ac:dyDescent="0.5">
      <c r="B6" s="3" t="s">
        <v>15</v>
      </c>
      <c r="C6" s="3" t="s">
        <v>58</v>
      </c>
      <c r="D6" s="4" t="s">
        <v>16</v>
      </c>
      <c r="E6" s="3" t="s">
        <v>18</v>
      </c>
      <c r="F6" s="3">
        <v>1</v>
      </c>
      <c r="G6" s="5">
        <v>15000</v>
      </c>
      <c r="H6" s="5">
        <v>15000</v>
      </c>
    </row>
    <row r="7" spans="1:8" x14ac:dyDescent="0.5">
      <c r="B7" s="3" t="s">
        <v>15</v>
      </c>
      <c r="C7" s="3" t="s">
        <v>59</v>
      </c>
      <c r="D7" s="4" t="s">
        <v>19</v>
      </c>
      <c r="E7" s="3" t="s">
        <v>21</v>
      </c>
      <c r="F7" s="3">
        <v>2</v>
      </c>
      <c r="G7" s="5">
        <v>150</v>
      </c>
      <c r="H7" s="5">
        <v>300</v>
      </c>
    </row>
    <row r="8" spans="1:8" x14ac:dyDescent="0.5">
      <c r="B8" s="3" t="s">
        <v>22</v>
      </c>
      <c r="C8" s="3" t="s">
        <v>60</v>
      </c>
      <c r="D8" s="4" t="s">
        <v>23</v>
      </c>
      <c r="E8" s="3" t="s">
        <v>25</v>
      </c>
      <c r="F8" s="3">
        <v>3</v>
      </c>
      <c r="G8" s="5">
        <v>500</v>
      </c>
      <c r="H8" s="5">
        <v>1500</v>
      </c>
    </row>
    <row r="9" spans="1:8" x14ac:dyDescent="0.5">
      <c r="B9" s="3" t="s">
        <v>26</v>
      </c>
      <c r="C9" s="3" t="s">
        <v>61</v>
      </c>
      <c r="D9" s="4" t="s">
        <v>27</v>
      </c>
      <c r="E9" s="3" t="s">
        <v>10</v>
      </c>
      <c r="F9" s="3">
        <v>4</v>
      </c>
      <c r="G9" s="5">
        <v>2500</v>
      </c>
      <c r="H9" s="5">
        <v>10000</v>
      </c>
    </row>
    <row r="10" spans="1:8" x14ac:dyDescent="0.5">
      <c r="B10" s="3" t="s">
        <v>29</v>
      </c>
      <c r="C10" s="3" t="s">
        <v>62</v>
      </c>
      <c r="D10" s="4" t="s">
        <v>30</v>
      </c>
      <c r="E10" s="3" t="s">
        <v>32</v>
      </c>
      <c r="F10" s="3">
        <v>4</v>
      </c>
      <c r="G10" s="5">
        <v>20000</v>
      </c>
      <c r="H10" s="5">
        <v>80000</v>
      </c>
    </row>
    <row r="11" spans="1:8" x14ac:dyDescent="0.5">
      <c r="B11" s="3" t="s">
        <v>33</v>
      </c>
      <c r="C11" s="3" t="s">
        <v>63</v>
      </c>
      <c r="D11" s="4" t="s">
        <v>34</v>
      </c>
      <c r="E11" s="3" t="s">
        <v>35</v>
      </c>
      <c r="F11" s="3">
        <v>1</v>
      </c>
      <c r="G11" s="5">
        <v>1500</v>
      </c>
      <c r="H11" s="5">
        <v>1500</v>
      </c>
    </row>
    <row r="12" spans="1:8" x14ac:dyDescent="0.5">
      <c r="B12" s="3" t="s">
        <v>36</v>
      </c>
      <c r="C12" s="3" t="s">
        <v>64</v>
      </c>
      <c r="D12" s="4" t="s">
        <v>37</v>
      </c>
      <c r="E12" s="3" t="s">
        <v>25</v>
      </c>
      <c r="F12" s="3">
        <v>1</v>
      </c>
      <c r="G12" s="5">
        <v>500</v>
      </c>
      <c r="H12" s="5">
        <v>500</v>
      </c>
    </row>
    <row r="13" spans="1:8" x14ac:dyDescent="0.5">
      <c r="B13" s="6"/>
      <c r="C13" s="6"/>
      <c r="D13" s="9"/>
      <c r="E13" s="6"/>
      <c r="F13" s="6"/>
      <c r="G13" s="10"/>
      <c r="H13" s="10"/>
    </row>
    <row r="14" spans="1:8" x14ac:dyDescent="0.5">
      <c r="B14" s="7" t="s">
        <v>0</v>
      </c>
      <c r="C14" s="7" t="s">
        <v>2</v>
      </c>
      <c r="D14" s="7" t="s">
        <v>1</v>
      </c>
      <c r="E14" s="7" t="s">
        <v>3</v>
      </c>
      <c r="F14" s="7" t="s">
        <v>4</v>
      </c>
      <c r="G14" s="7" t="s">
        <v>5</v>
      </c>
      <c r="H14" s="7" t="s">
        <v>6</v>
      </c>
    </row>
    <row r="15" spans="1:8" x14ac:dyDescent="0.5">
      <c r="B15" s="3" t="s">
        <v>22</v>
      </c>
      <c r="C15" s="3" t="str" cm="1">
        <f t="array" ref="C15:H15">_xlfn.XLOOKUP(B15,B3:B12,C3:H12,"",0)</f>
        <v>Tariq Khan</v>
      </c>
      <c r="D15" s="3" t="str">
        <v>CU05</v>
      </c>
      <c r="E15" s="3" t="str">
        <v>Charger</v>
      </c>
      <c r="F15" s="3">
        <v>3</v>
      </c>
      <c r="G15" s="3">
        <v>500</v>
      </c>
      <c r="H15" s="3">
        <v>1500</v>
      </c>
    </row>
    <row r="17" spans="7:8" x14ac:dyDescent="0.5">
      <c r="G17" s="6"/>
      <c r="H17" s="6"/>
    </row>
    <row r="18" spans="7:8" x14ac:dyDescent="0.5">
      <c r="G18" s="6"/>
      <c r="H18" s="6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1A29C-5E53-4E20-8956-21927AE4B77E}">
  <dimension ref="A1:P31"/>
  <sheetViews>
    <sheetView workbookViewId="0">
      <selection activeCell="L9" sqref="L9:L10"/>
    </sheetView>
  </sheetViews>
  <sheetFormatPr defaultRowHeight="25.8" x14ac:dyDescent="0.5"/>
  <cols>
    <col min="1" max="1" width="3.234375" customWidth="1"/>
    <col min="2" max="2" width="8.29296875" customWidth="1"/>
    <col min="3" max="3" width="11" customWidth="1"/>
    <col min="4" max="4" width="4.64453125" bestFit="1" customWidth="1"/>
    <col min="5" max="5" width="8.52734375" bestFit="1" customWidth="1"/>
    <col min="6" max="6" width="5.87890625" bestFit="1" customWidth="1"/>
    <col min="7" max="7" width="6" bestFit="1" customWidth="1"/>
    <col min="8" max="8" width="5.87890625" bestFit="1" customWidth="1"/>
    <col min="9" max="9" width="4.52734375" customWidth="1"/>
    <col min="10" max="10" width="5.234375" bestFit="1" customWidth="1"/>
    <col min="11" max="11" width="9.76171875" bestFit="1" customWidth="1"/>
    <col min="12" max="12" width="4.64453125" bestFit="1" customWidth="1"/>
    <col min="13" max="13" width="8.52734375" bestFit="1" customWidth="1"/>
    <col min="14" max="14" width="5.87890625" bestFit="1" customWidth="1"/>
    <col min="15" max="15" width="6" bestFit="1" customWidth="1"/>
    <col min="16" max="16" width="5.87890625" bestFit="1" customWidth="1"/>
  </cols>
  <sheetData>
    <row r="1" spans="1:16" x14ac:dyDescent="0.5">
      <c r="A1" s="12" t="s">
        <v>174</v>
      </c>
      <c r="B1" s="12"/>
      <c r="C1" s="12"/>
    </row>
    <row r="3" spans="1:16" x14ac:dyDescent="0.5">
      <c r="B3" s="8" t="s">
        <v>0</v>
      </c>
      <c r="C3" s="8" t="s">
        <v>2</v>
      </c>
      <c r="D3" s="8" t="s">
        <v>1</v>
      </c>
      <c r="E3" s="8" t="s">
        <v>3</v>
      </c>
      <c r="F3" s="8" t="s">
        <v>4</v>
      </c>
      <c r="G3" s="8" t="s">
        <v>5</v>
      </c>
      <c r="H3" s="8" t="s">
        <v>6</v>
      </c>
      <c r="J3" s="7" t="s">
        <v>0</v>
      </c>
      <c r="K3" s="7" t="s">
        <v>2</v>
      </c>
      <c r="L3" s="7" t="s">
        <v>1</v>
      </c>
      <c r="M3" s="7" t="s">
        <v>3</v>
      </c>
      <c r="N3" s="7" t="s">
        <v>4</v>
      </c>
      <c r="O3" s="7" t="s">
        <v>5</v>
      </c>
      <c r="P3" s="7" t="s">
        <v>6</v>
      </c>
    </row>
    <row r="4" spans="1:16" x14ac:dyDescent="0.5">
      <c r="B4" s="3" t="s">
        <v>7</v>
      </c>
      <c r="C4" s="3" t="s">
        <v>56</v>
      </c>
      <c r="D4" s="4" t="s">
        <v>8</v>
      </c>
      <c r="E4" s="3" t="s">
        <v>10</v>
      </c>
      <c r="F4" s="3">
        <v>2</v>
      </c>
      <c r="G4" s="5">
        <v>2500</v>
      </c>
      <c r="H4" s="5">
        <v>5000</v>
      </c>
      <c r="J4" s="3" t="s">
        <v>22</v>
      </c>
      <c r="K4" s="3" t="s">
        <v>60</v>
      </c>
      <c r="L4" s="3" t="str" cm="1">
        <f t="array" ref="L4:P4">_xlfn.XLOOKUP(J4&amp;K4,$B$3:$B$11&amp;$C$3:$C$11,$D$3:$H$11)</f>
        <v>CU05</v>
      </c>
      <c r="M4" s="3" t="str">
        <v>Charger</v>
      </c>
      <c r="N4" s="3">
        <v>3</v>
      </c>
      <c r="O4" s="3">
        <v>500</v>
      </c>
      <c r="P4" s="3">
        <v>1500</v>
      </c>
    </row>
    <row r="5" spans="1:16" x14ac:dyDescent="0.5">
      <c r="B5" s="3" t="s">
        <v>11</v>
      </c>
      <c r="C5" s="3" t="s">
        <v>57</v>
      </c>
      <c r="D5" s="4" t="s">
        <v>12</v>
      </c>
      <c r="E5" s="3" t="s">
        <v>14</v>
      </c>
      <c r="F5" s="3">
        <v>2</v>
      </c>
      <c r="G5" s="5">
        <v>6000</v>
      </c>
      <c r="H5" s="5">
        <v>12000</v>
      </c>
      <c r="J5" s="3" t="s">
        <v>11</v>
      </c>
      <c r="K5" s="3" t="s">
        <v>57</v>
      </c>
      <c r="L5" s="3" t="str" cm="1">
        <f t="array" ref="L5:P5">_xlfn.XLOOKUP(J5&amp;K5,$B$3:$B$11&amp;$C$3:$C$11,$D$3:$H$11)</f>
        <v>CU02</v>
      </c>
      <c r="M5" s="3" t="str">
        <v>Chair</v>
      </c>
      <c r="N5" s="3">
        <v>2</v>
      </c>
      <c r="O5" s="3">
        <v>6000</v>
      </c>
      <c r="P5" s="3">
        <v>12000</v>
      </c>
    </row>
    <row r="6" spans="1:16" x14ac:dyDescent="0.5">
      <c r="B6" s="3" t="s">
        <v>15</v>
      </c>
      <c r="C6" s="3" t="s">
        <v>58</v>
      </c>
      <c r="D6" s="4" t="s">
        <v>16</v>
      </c>
      <c r="E6" s="3" t="s">
        <v>18</v>
      </c>
      <c r="F6" s="3">
        <v>1</v>
      </c>
      <c r="G6" s="5">
        <v>15000</v>
      </c>
      <c r="H6" s="5">
        <v>15000</v>
      </c>
      <c r="J6" s="3" t="s">
        <v>29</v>
      </c>
      <c r="K6" s="3" t="s">
        <v>62</v>
      </c>
      <c r="L6" s="3" t="str" cm="1">
        <f t="array" ref="L6:P6">_xlfn.XLOOKUP(J6&amp;K6,$B$3:$B$11&amp;$C$3:$C$11,$D$3:$H$11)</f>
        <v>CU07</v>
      </c>
      <c r="M6" s="3" t="str">
        <v>Tablet</v>
      </c>
      <c r="N6" s="3">
        <v>4</v>
      </c>
      <c r="O6" s="3">
        <v>20000</v>
      </c>
      <c r="P6" s="3">
        <v>80000</v>
      </c>
    </row>
    <row r="7" spans="1:16" x14ac:dyDescent="0.5">
      <c r="B7" s="3" t="s">
        <v>15</v>
      </c>
      <c r="C7" s="3" t="s">
        <v>59</v>
      </c>
      <c r="D7" s="4" t="s">
        <v>19</v>
      </c>
      <c r="E7" s="3" t="s">
        <v>21</v>
      </c>
      <c r="F7" s="3">
        <v>2</v>
      </c>
      <c r="G7" s="5">
        <v>150</v>
      </c>
      <c r="H7" s="5">
        <v>300</v>
      </c>
    </row>
    <row r="8" spans="1:16" x14ac:dyDescent="0.5">
      <c r="B8" s="3" t="s">
        <v>22</v>
      </c>
      <c r="C8" s="3" t="s">
        <v>60</v>
      </c>
      <c r="D8" s="4" t="s">
        <v>23</v>
      </c>
      <c r="E8" s="3" t="s">
        <v>25</v>
      </c>
      <c r="F8" s="3">
        <v>3</v>
      </c>
      <c r="G8" s="5">
        <v>500</v>
      </c>
      <c r="H8" s="5">
        <v>1500</v>
      </c>
      <c r="J8" s="7" t="s">
        <v>1</v>
      </c>
      <c r="K8" s="7" t="s">
        <v>3</v>
      </c>
      <c r="L8" s="7" t="s">
        <v>4</v>
      </c>
      <c r="M8" s="7" t="s">
        <v>5</v>
      </c>
      <c r="N8" s="7" t="s">
        <v>6</v>
      </c>
    </row>
    <row r="9" spans="1:16" x14ac:dyDescent="0.5">
      <c r="B9" s="3" t="s">
        <v>26</v>
      </c>
      <c r="C9" s="3" t="s">
        <v>61</v>
      </c>
      <c r="D9" s="4" t="s">
        <v>27</v>
      </c>
      <c r="E9" s="3" t="s">
        <v>10</v>
      </c>
      <c r="F9" s="3">
        <v>4</v>
      </c>
      <c r="G9" s="5">
        <v>2500</v>
      </c>
      <c r="H9" s="5">
        <v>10000</v>
      </c>
      <c r="J9" s="4" t="s">
        <v>16</v>
      </c>
      <c r="K9" s="3" t="s">
        <v>18</v>
      </c>
      <c r="L9" s="3" cm="1">
        <f t="array" ref="L9:N9">_xlfn.XLOOKUP(J9&amp;K9,$D$3:$D$11&amp;$E$3:$E$11,F3:H11)</f>
        <v>1</v>
      </c>
      <c r="M9" s="3">
        <v>15000</v>
      </c>
      <c r="N9" s="3">
        <v>15000</v>
      </c>
    </row>
    <row r="10" spans="1:16" x14ac:dyDescent="0.5">
      <c r="B10" s="3" t="s">
        <v>29</v>
      </c>
      <c r="C10" s="3" t="s">
        <v>62</v>
      </c>
      <c r="D10" s="4" t="s">
        <v>30</v>
      </c>
      <c r="E10" s="3" t="s">
        <v>32</v>
      </c>
      <c r="F10" s="3">
        <v>4</v>
      </c>
      <c r="G10" s="5">
        <v>20000</v>
      </c>
      <c r="H10" s="5">
        <v>80000</v>
      </c>
      <c r="J10" s="4" t="s">
        <v>27</v>
      </c>
      <c r="K10" s="3" t="s">
        <v>10</v>
      </c>
      <c r="L10" s="3" cm="1">
        <f t="array" ref="L10:N10">_xlfn.XLOOKUP(J10&amp;K10,$D$3:$D$11&amp;$E$3:$E$11,F4:H12)</f>
        <v>4</v>
      </c>
      <c r="M10" s="3">
        <v>20000</v>
      </c>
      <c r="N10" s="3">
        <v>80000</v>
      </c>
    </row>
    <row r="11" spans="1:16" x14ac:dyDescent="0.5">
      <c r="B11" s="3" t="s">
        <v>33</v>
      </c>
      <c r="C11" s="3" t="s">
        <v>63</v>
      </c>
      <c r="D11" s="4" t="s">
        <v>34</v>
      </c>
      <c r="E11" s="3" t="s">
        <v>35</v>
      </c>
      <c r="F11" s="3">
        <v>1</v>
      </c>
      <c r="G11" s="5">
        <v>1500</v>
      </c>
      <c r="H11" s="5">
        <v>1500</v>
      </c>
    </row>
    <row r="12" spans="1:16" x14ac:dyDescent="0.5">
      <c r="B12" s="6"/>
      <c r="C12" s="6"/>
      <c r="D12" s="9"/>
      <c r="E12" s="6"/>
      <c r="F12" s="6"/>
      <c r="G12" s="10"/>
      <c r="H12" s="10"/>
    </row>
    <row r="17" spans="2:8" x14ac:dyDescent="0.5">
      <c r="B17" s="6"/>
      <c r="C17" s="6"/>
      <c r="D17" s="6"/>
      <c r="E17" s="6"/>
      <c r="F17" s="6"/>
      <c r="G17" s="6"/>
      <c r="H17" s="6"/>
    </row>
    <row r="18" spans="2:8" x14ac:dyDescent="0.5">
      <c r="G18" s="6"/>
      <c r="H18" s="6"/>
    </row>
    <row r="19" spans="2:8" x14ac:dyDescent="0.5">
      <c r="G19" s="6"/>
      <c r="H19" s="6"/>
    </row>
    <row r="20" spans="2:8" x14ac:dyDescent="0.5">
      <c r="G20" s="6"/>
      <c r="H20" s="6"/>
    </row>
    <row r="30" spans="2:8" x14ac:dyDescent="0.5">
      <c r="C30" s="1" t="s">
        <v>34</v>
      </c>
    </row>
    <row r="31" spans="2:8" x14ac:dyDescent="0.5">
      <c r="C31" s="1" t="s">
        <v>37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C3A8C-D9B8-45FC-B956-E02F643E72A5}">
  <dimension ref="A1:K19"/>
  <sheetViews>
    <sheetView workbookViewId="0">
      <selection activeCell="B5" sqref="B5"/>
    </sheetView>
  </sheetViews>
  <sheetFormatPr defaultRowHeight="25.8" x14ac:dyDescent="0.5"/>
  <cols>
    <col min="1" max="1" width="3.234375" customWidth="1"/>
    <col min="2" max="2" width="5.234375" bestFit="1" customWidth="1"/>
    <col min="3" max="3" width="9.76171875" bestFit="1" customWidth="1"/>
    <col min="4" max="4" width="4.64453125" bestFit="1" customWidth="1"/>
    <col min="5" max="5" width="8.52734375" bestFit="1" customWidth="1"/>
    <col min="6" max="6" width="3.17578125" customWidth="1"/>
    <col min="7" max="7" width="6" bestFit="1" customWidth="1"/>
    <col min="8" max="8" width="5.87890625" bestFit="1" customWidth="1"/>
    <col min="9" max="9" width="3.1171875" customWidth="1"/>
    <col min="10" max="10" width="15" customWidth="1"/>
    <col min="11" max="11" width="12.3515625" customWidth="1"/>
  </cols>
  <sheetData>
    <row r="1" spans="1:11" x14ac:dyDescent="0.5">
      <c r="A1" s="12" t="s">
        <v>175</v>
      </c>
      <c r="B1" s="12"/>
      <c r="C1" s="12"/>
    </row>
    <row r="3" spans="1:11" x14ac:dyDescent="0.5">
      <c r="B3" s="2" t="s">
        <v>0</v>
      </c>
      <c r="C3" s="2" t="s">
        <v>2</v>
      </c>
      <c r="D3" s="2" t="s">
        <v>1</v>
      </c>
      <c r="E3" s="2" t="s">
        <v>3</v>
      </c>
      <c r="F3" s="2" t="s">
        <v>4</v>
      </c>
      <c r="G3" s="2" t="s">
        <v>5</v>
      </c>
      <c r="H3" s="2" t="s">
        <v>6</v>
      </c>
      <c r="I3" s="6"/>
      <c r="J3" s="7" t="s">
        <v>0</v>
      </c>
      <c r="K3" s="11" t="s">
        <v>40</v>
      </c>
    </row>
    <row r="4" spans="1:11" x14ac:dyDescent="0.5">
      <c r="B4" s="3" t="s">
        <v>7</v>
      </c>
      <c r="C4" s="3" t="s">
        <v>56</v>
      </c>
      <c r="D4" s="4" t="s">
        <v>8</v>
      </c>
      <c r="E4" s="3" t="s">
        <v>10</v>
      </c>
      <c r="F4" s="3">
        <v>2</v>
      </c>
      <c r="G4" s="5">
        <v>1380</v>
      </c>
      <c r="H4" s="5">
        <v>2760</v>
      </c>
      <c r="I4" s="6"/>
      <c r="J4" s="7" t="s">
        <v>2</v>
      </c>
      <c r="K4" s="11" t="str" cm="1">
        <f t="array" ref="K4:K9">TRANSPOSE(_xlfn.XLOOKUP(K3,$B$3:$B$19,$C$3:$H$19))</f>
        <v>Anwar Hossain</v>
      </c>
    </row>
    <row r="5" spans="1:11" x14ac:dyDescent="0.5">
      <c r="B5" s="3" t="s">
        <v>11</v>
      </c>
      <c r="C5" s="3" t="s">
        <v>57</v>
      </c>
      <c r="D5" s="4" t="s">
        <v>12</v>
      </c>
      <c r="E5" s="3" t="s">
        <v>14</v>
      </c>
      <c r="F5" s="3">
        <v>2</v>
      </c>
      <c r="G5" s="5">
        <v>5848</v>
      </c>
      <c r="H5" s="5">
        <v>11697</v>
      </c>
      <c r="I5" s="6"/>
      <c r="J5" s="7" t="s">
        <v>1</v>
      </c>
      <c r="K5" s="11" t="str">
        <v>CU11</v>
      </c>
    </row>
    <row r="6" spans="1:11" x14ac:dyDescent="0.5">
      <c r="B6" s="3" t="s">
        <v>15</v>
      </c>
      <c r="C6" s="3" t="s">
        <v>58</v>
      </c>
      <c r="D6" s="4" t="s">
        <v>16</v>
      </c>
      <c r="E6" s="3" t="s">
        <v>18</v>
      </c>
      <c r="F6" s="3">
        <v>1</v>
      </c>
      <c r="G6" s="5">
        <v>15208</v>
      </c>
      <c r="H6" s="5">
        <v>15208</v>
      </c>
      <c r="I6" s="6"/>
      <c r="J6" s="7" t="s">
        <v>3</v>
      </c>
      <c r="K6" s="11" t="str">
        <v>Chair</v>
      </c>
    </row>
    <row r="7" spans="1:11" x14ac:dyDescent="0.5">
      <c r="B7" s="3" t="s">
        <v>52</v>
      </c>
      <c r="C7" s="3" t="s">
        <v>59</v>
      </c>
      <c r="D7" s="4" t="s">
        <v>19</v>
      </c>
      <c r="E7" s="3" t="s">
        <v>21</v>
      </c>
      <c r="F7" s="3">
        <v>2</v>
      </c>
      <c r="G7" s="5">
        <v>156</v>
      </c>
      <c r="H7" s="5">
        <v>313</v>
      </c>
      <c r="I7" s="6"/>
      <c r="J7" s="7" t="s">
        <v>4</v>
      </c>
      <c r="K7" s="11">
        <v>2</v>
      </c>
    </row>
    <row r="8" spans="1:11" x14ac:dyDescent="0.5">
      <c r="B8" s="3" t="s">
        <v>22</v>
      </c>
      <c r="C8" s="3" t="s">
        <v>60</v>
      </c>
      <c r="D8" s="4" t="s">
        <v>23</v>
      </c>
      <c r="E8" s="3" t="s">
        <v>25</v>
      </c>
      <c r="F8" s="3">
        <v>3</v>
      </c>
      <c r="G8" s="5">
        <v>280</v>
      </c>
      <c r="H8" s="5">
        <v>840</v>
      </c>
      <c r="I8" s="6"/>
      <c r="J8" s="7" t="s">
        <v>5</v>
      </c>
      <c r="K8" s="11">
        <v>156</v>
      </c>
    </row>
    <row r="9" spans="1:11" x14ac:dyDescent="0.5">
      <c r="B9" s="3" t="s">
        <v>26</v>
      </c>
      <c r="C9" s="3" t="s">
        <v>61</v>
      </c>
      <c r="D9" s="4" t="s">
        <v>27</v>
      </c>
      <c r="E9" s="3" t="s">
        <v>10</v>
      </c>
      <c r="F9" s="3">
        <v>4</v>
      </c>
      <c r="G9" s="5">
        <v>1380</v>
      </c>
      <c r="H9" s="5">
        <v>5520</v>
      </c>
      <c r="I9" s="6"/>
      <c r="J9" s="7" t="s">
        <v>6</v>
      </c>
      <c r="K9" s="11">
        <v>313</v>
      </c>
    </row>
    <row r="10" spans="1:11" x14ac:dyDescent="0.5">
      <c r="B10" s="3" t="s">
        <v>29</v>
      </c>
      <c r="C10" s="3" t="s">
        <v>62</v>
      </c>
      <c r="D10" s="4" t="s">
        <v>30</v>
      </c>
      <c r="E10" s="3" t="s">
        <v>32</v>
      </c>
      <c r="F10" s="3">
        <v>4</v>
      </c>
      <c r="G10" s="5">
        <v>27025</v>
      </c>
      <c r="H10" s="5">
        <v>108100</v>
      </c>
      <c r="I10" s="6"/>
      <c r="J10" s="6"/>
      <c r="K10" s="6"/>
    </row>
    <row r="11" spans="1:11" x14ac:dyDescent="0.5">
      <c r="B11" s="3" t="s">
        <v>33</v>
      </c>
      <c r="C11" s="3" t="s">
        <v>63</v>
      </c>
      <c r="D11" s="4" t="s">
        <v>34</v>
      </c>
      <c r="E11" s="3" t="s">
        <v>35</v>
      </c>
      <c r="F11" s="3">
        <v>1</v>
      </c>
      <c r="G11" s="5">
        <v>1400</v>
      </c>
      <c r="H11" s="5">
        <v>1400</v>
      </c>
      <c r="I11" s="6"/>
      <c r="J11" s="6"/>
      <c r="K11" s="6"/>
    </row>
    <row r="12" spans="1:11" x14ac:dyDescent="0.5">
      <c r="B12" s="3" t="s">
        <v>36</v>
      </c>
      <c r="C12" s="3" t="s">
        <v>64</v>
      </c>
      <c r="D12" s="4" t="s">
        <v>37</v>
      </c>
      <c r="E12" s="3" t="s">
        <v>25</v>
      </c>
      <c r="F12" s="3">
        <v>1</v>
      </c>
      <c r="G12" s="5">
        <v>280</v>
      </c>
      <c r="H12" s="5">
        <v>280</v>
      </c>
      <c r="I12" s="6"/>
      <c r="J12" s="6"/>
      <c r="K12" s="6"/>
    </row>
    <row r="13" spans="1:11" x14ac:dyDescent="0.5">
      <c r="B13" s="3" t="s">
        <v>38</v>
      </c>
      <c r="C13" s="3" t="s">
        <v>65</v>
      </c>
      <c r="D13" s="4" t="s">
        <v>39</v>
      </c>
      <c r="E13" s="3" t="s">
        <v>10</v>
      </c>
      <c r="F13" s="3">
        <v>1</v>
      </c>
      <c r="G13" s="5">
        <v>15208</v>
      </c>
      <c r="H13" s="5">
        <v>15208</v>
      </c>
      <c r="I13" s="6"/>
      <c r="J13" s="6"/>
      <c r="K13" s="6"/>
    </row>
    <row r="14" spans="1:11" x14ac:dyDescent="0.5">
      <c r="B14" s="3" t="s">
        <v>40</v>
      </c>
      <c r="C14" s="3" t="s">
        <v>66</v>
      </c>
      <c r="D14" s="4" t="s">
        <v>41</v>
      </c>
      <c r="E14" s="3" t="s">
        <v>14</v>
      </c>
      <c r="F14" s="3">
        <v>2</v>
      </c>
      <c r="G14" s="5">
        <v>156</v>
      </c>
      <c r="H14" s="5">
        <v>313</v>
      </c>
      <c r="I14" s="6"/>
      <c r="J14" s="6"/>
      <c r="K14" s="6"/>
    </row>
    <row r="15" spans="1:11" x14ac:dyDescent="0.5">
      <c r="B15" s="3" t="s">
        <v>42</v>
      </c>
      <c r="C15" s="3" t="s">
        <v>67</v>
      </c>
      <c r="D15" s="4" t="s">
        <v>43</v>
      </c>
      <c r="E15" s="3" t="s">
        <v>18</v>
      </c>
      <c r="F15" s="3">
        <v>3</v>
      </c>
      <c r="G15" s="5">
        <v>280</v>
      </c>
      <c r="H15" s="5">
        <v>840</v>
      </c>
      <c r="I15" s="6"/>
      <c r="J15" s="6"/>
      <c r="K15" s="6"/>
    </row>
    <row r="16" spans="1:11" x14ac:dyDescent="0.5">
      <c r="B16" s="3" t="s">
        <v>44</v>
      </c>
      <c r="C16" s="3" t="s">
        <v>68</v>
      </c>
      <c r="D16" s="4" t="s">
        <v>45</v>
      </c>
      <c r="E16" s="3" t="s">
        <v>21</v>
      </c>
      <c r="F16" s="3">
        <v>4</v>
      </c>
      <c r="G16" s="5">
        <v>1380</v>
      </c>
      <c r="H16" s="5">
        <v>5520</v>
      </c>
      <c r="I16" s="6"/>
      <c r="J16" s="6"/>
      <c r="K16" s="6"/>
    </row>
    <row r="17" spans="2:11" x14ac:dyDescent="0.5">
      <c r="B17" s="3" t="s">
        <v>46</v>
      </c>
      <c r="C17" s="3" t="s">
        <v>69</v>
      </c>
      <c r="D17" s="4" t="s">
        <v>47</v>
      </c>
      <c r="E17" s="3" t="s">
        <v>25</v>
      </c>
      <c r="F17" s="3">
        <v>4</v>
      </c>
      <c r="G17" s="5">
        <v>27025</v>
      </c>
      <c r="H17" s="5">
        <v>108100</v>
      </c>
      <c r="I17" s="6"/>
      <c r="J17" s="6"/>
      <c r="K17" s="6"/>
    </row>
    <row r="18" spans="2:11" x14ac:dyDescent="0.5">
      <c r="B18" s="3" t="s">
        <v>50</v>
      </c>
      <c r="C18" s="3" t="s">
        <v>70</v>
      </c>
      <c r="D18" s="4" t="s">
        <v>48</v>
      </c>
      <c r="E18" s="3" t="s">
        <v>10</v>
      </c>
      <c r="F18" s="3">
        <v>1</v>
      </c>
      <c r="G18" s="5">
        <v>1400</v>
      </c>
      <c r="H18" s="5">
        <v>1400</v>
      </c>
      <c r="I18" s="6"/>
      <c r="J18" s="6"/>
      <c r="K18" s="6"/>
    </row>
    <row r="19" spans="2:11" x14ac:dyDescent="0.5">
      <c r="B19" s="3" t="s">
        <v>51</v>
      </c>
      <c r="C19" s="3" t="s">
        <v>71</v>
      </c>
      <c r="D19" s="4" t="s">
        <v>49</v>
      </c>
      <c r="E19" s="3" t="s">
        <v>32</v>
      </c>
      <c r="F19" s="3">
        <v>1</v>
      </c>
      <c r="G19" s="5">
        <v>280</v>
      </c>
      <c r="H19" s="5">
        <v>280</v>
      </c>
      <c r="I19" s="6"/>
      <c r="J19" s="6"/>
      <c r="K19" s="6"/>
    </row>
  </sheetData>
  <mergeCells count="1">
    <mergeCell ref="A1:C1"/>
  </mergeCells>
  <phoneticPr fontId="1" type="noConversion"/>
  <dataValidations count="1">
    <dataValidation type="list" allowBlank="1" showInputMessage="1" showErrorMessage="1" sqref="K3" xr:uid="{A95C4B36-21EB-4697-BB28-D1BC3258BCFD}">
      <formula1>$B$4:$B$19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DAC7-2692-4232-A009-FC25A76DC9F9}">
  <dimension ref="A1:I23"/>
  <sheetViews>
    <sheetView workbookViewId="0">
      <selection activeCell="C16" sqref="C16"/>
    </sheetView>
  </sheetViews>
  <sheetFormatPr defaultRowHeight="25.8" x14ac:dyDescent="0.5"/>
  <cols>
    <col min="1" max="1" width="3.234375" customWidth="1"/>
    <col min="2" max="2" width="7.46875" bestFit="1" customWidth="1"/>
    <col min="3" max="3" width="13.9375" bestFit="1" customWidth="1"/>
    <col min="4" max="5" width="12.17578125" bestFit="1" customWidth="1"/>
    <col min="6" max="6" width="3.5859375" bestFit="1" customWidth="1"/>
    <col min="7" max="7" width="8.52734375" bestFit="1" customWidth="1"/>
    <col min="8" max="8" width="8.64453125" bestFit="1" customWidth="1"/>
  </cols>
  <sheetData>
    <row r="1" spans="1:9" x14ac:dyDescent="0.5">
      <c r="A1" s="12" t="s">
        <v>176</v>
      </c>
      <c r="B1" s="12"/>
      <c r="C1" s="12"/>
      <c r="D1" s="12"/>
    </row>
    <row r="3" spans="1:9" x14ac:dyDescent="0.5">
      <c r="A3" s="6"/>
      <c r="B3" s="8" t="s">
        <v>0</v>
      </c>
      <c r="C3" s="8" t="s">
        <v>2</v>
      </c>
      <c r="D3" s="8" t="s">
        <v>1</v>
      </c>
      <c r="E3" s="8" t="s">
        <v>3</v>
      </c>
      <c r="F3" s="8" t="s">
        <v>4</v>
      </c>
      <c r="G3" s="8" t="s">
        <v>5</v>
      </c>
      <c r="H3" s="8" t="s">
        <v>6</v>
      </c>
      <c r="I3" s="6"/>
    </row>
    <row r="4" spans="1:9" x14ac:dyDescent="0.5">
      <c r="A4" s="6"/>
      <c r="B4" s="3" t="s">
        <v>7</v>
      </c>
      <c r="C4" s="13" t="s">
        <v>56</v>
      </c>
      <c r="D4" s="14" t="s">
        <v>8</v>
      </c>
      <c r="E4" s="15" t="s">
        <v>10</v>
      </c>
      <c r="F4" s="15">
        <v>2</v>
      </c>
      <c r="G4" s="16">
        <v>2500</v>
      </c>
      <c r="H4" s="16">
        <v>5000</v>
      </c>
      <c r="I4" s="6"/>
    </row>
    <row r="5" spans="1:9" x14ac:dyDescent="0.5">
      <c r="A5" s="6"/>
      <c r="B5" s="3" t="s">
        <v>11</v>
      </c>
      <c r="C5" s="17" t="s">
        <v>57</v>
      </c>
      <c r="D5" s="18" t="s">
        <v>12</v>
      </c>
      <c r="E5" s="19" t="s">
        <v>14</v>
      </c>
      <c r="F5" s="19">
        <v>2</v>
      </c>
      <c r="G5" s="20">
        <v>6000</v>
      </c>
      <c r="H5" s="20">
        <v>12000</v>
      </c>
      <c r="I5" s="6"/>
    </row>
    <row r="6" spans="1:9" x14ac:dyDescent="0.5">
      <c r="A6" s="6"/>
      <c r="B6" s="3" t="s">
        <v>15</v>
      </c>
      <c r="C6" s="17" t="s">
        <v>58</v>
      </c>
      <c r="D6" s="18" t="s">
        <v>16</v>
      </c>
      <c r="E6" s="19" t="s">
        <v>18</v>
      </c>
      <c r="F6" s="19">
        <v>1</v>
      </c>
      <c r="G6" s="20">
        <v>15000</v>
      </c>
      <c r="H6" s="20">
        <v>15000</v>
      </c>
      <c r="I6" s="6"/>
    </row>
    <row r="7" spans="1:9" x14ac:dyDescent="0.5">
      <c r="A7" s="6"/>
      <c r="B7" s="3" t="s">
        <v>15</v>
      </c>
      <c r="C7" s="17" t="s">
        <v>59</v>
      </c>
      <c r="D7" s="18" t="s">
        <v>19</v>
      </c>
      <c r="E7" s="19" t="s">
        <v>21</v>
      </c>
      <c r="F7" s="19">
        <v>2</v>
      </c>
      <c r="G7" s="20">
        <v>150</v>
      </c>
      <c r="H7" s="20">
        <v>300</v>
      </c>
      <c r="I7" s="6"/>
    </row>
    <row r="8" spans="1:9" x14ac:dyDescent="0.5">
      <c r="A8" s="6"/>
      <c r="B8" s="3" t="s">
        <v>22</v>
      </c>
      <c r="C8" s="17" t="s">
        <v>60</v>
      </c>
      <c r="D8" s="18" t="s">
        <v>23</v>
      </c>
      <c r="E8" s="19" t="s">
        <v>25</v>
      </c>
      <c r="F8" s="19">
        <v>3</v>
      </c>
      <c r="G8" s="20">
        <v>500</v>
      </c>
      <c r="H8" s="20">
        <v>1500</v>
      </c>
      <c r="I8" s="6"/>
    </row>
    <row r="9" spans="1:9" x14ac:dyDescent="0.5">
      <c r="A9" s="6"/>
      <c r="B9" s="3" t="s">
        <v>26</v>
      </c>
      <c r="C9" s="17" t="s">
        <v>61</v>
      </c>
      <c r="D9" s="18" t="s">
        <v>27</v>
      </c>
      <c r="E9" s="19" t="s">
        <v>10</v>
      </c>
      <c r="F9" s="19">
        <v>4</v>
      </c>
      <c r="G9" s="20">
        <v>2500</v>
      </c>
      <c r="H9" s="20">
        <v>10000</v>
      </c>
      <c r="I9" s="6"/>
    </row>
    <row r="10" spans="1:9" x14ac:dyDescent="0.5">
      <c r="A10" s="6"/>
      <c r="B10" s="3" t="s">
        <v>29</v>
      </c>
      <c r="C10" s="17" t="s">
        <v>62</v>
      </c>
      <c r="D10" s="18" t="s">
        <v>30</v>
      </c>
      <c r="E10" s="19" t="s">
        <v>32</v>
      </c>
      <c r="F10" s="19">
        <v>4</v>
      </c>
      <c r="G10" s="20">
        <v>20000</v>
      </c>
      <c r="H10" s="20">
        <v>80000</v>
      </c>
      <c r="I10" s="6"/>
    </row>
    <row r="11" spans="1:9" x14ac:dyDescent="0.5">
      <c r="A11" s="6"/>
      <c r="B11" s="3" t="s">
        <v>33</v>
      </c>
      <c r="C11" s="17" t="s">
        <v>63</v>
      </c>
      <c r="D11" s="18" t="s">
        <v>34</v>
      </c>
      <c r="E11" s="19" t="s">
        <v>35</v>
      </c>
      <c r="F11" s="19">
        <v>1</v>
      </c>
      <c r="G11" s="20">
        <v>1500</v>
      </c>
      <c r="H11" s="20">
        <v>1500</v>
      </c>
      <c r="I11" s="6"/>
    </row>
    <row r="12" spans="1:9" x14ac:dyDescent="0.5">
      <c r="A12" s="6"/>
      <c r="B12" s="3" t="s">
        <v>36</v>
      </c>
      <c r="C12" s="17" t="s">
        <v>64</v>
      </c>
      <c r="D12" s="18" t="s">
        <v>37</v>
      </c>
      <c r="E12" s="19" t="s">
        <v>25</v>
      </c>
      <c r="F12" s="19">
        <v>1</v>
      </c>
      <c r="G12" s="20">
        <v>500</v>
      </c>
      <c r="H12" s="20">
        <v>500</v>
      </c>
      <c r="I12" s="6"/>
    </row>
    <row r="13" spans="1:9" x14ac:dyDescent="0.5">
      <c r="A13" s="6"/>
      <c r="B13" s="6"/>
      <c r="C13" s="6"/>
      <c r="D13" s="9"/>
      <c r="E13" s="6"/>
      <c r="F13" s="6"/>
      <c r="G13" s="10"/>
      <c r="H13" s="10"/>
      <c r="I13" s="6"/>
    </row>
    <row r="14" spans="1:9" x14ac:dyDescent="0.5">
      <c r="A14" s="6"/>
      <c r="B14" s="6"/>
      <c r="C14" s="6"/>
      <c r="D14" s="6"/>
      <c r="E14" s="6"/>
      <c r="F14" s="6"/>
      <c r="G14" s="6"/>
      <c r="H14" s="6"/>
      <c r="I14" s="6"/>
    </row>
    <row r="15" spans="1:9" x14ac:dyDescent="0.5">
      <c r="A15" s="6"/>
      <c r="B15" s="7" t="s">
        <v>0</v>
      </c>
      <c r="C15" s="7" t="s">
        <v>2</v>
      </c>
      <c r="D15" s="7" t="s">
        <v>3</v>
      </c>
      <c r="E15" s="7" t="s">
        <v>6</v>
      </c>
      <c r="F15" s="6"/>
      <c r="G15" s="6"/>
      <c r="H15" s="6"/>
      <c r="I15" s="6"/>
    </row>
    <row r="16" spans="1:9" x14ac:dyDescent="0.5">
      <c r="A16" s="6"/>
      <c r="B16" s="3" t="s">
        <v>26</v>
      </c>
      <c r="C16" s="3" t="str" cm="1">
        <f t="array" ref="C16:E16">_xlfn.XLOOKUP(B16,B3:B12,CHOOSE({1,2,3},C3:C12,E3:E12,H3:H12))</f>
        <v>Farhan Ahmed</v>
      </c>
      <c r="D16" s="3" t="str">
        <v>Headphones</v>
      </c>
      <c r="E16" s="3">
        <v>10000</v>
      </c>
      <c r="F16" s="6"/>
      <c r="G16" s="6"/>
      <c r="H16" s="6"/>
      <c r="I16" s="6"/>
    </row>
    <row r="17" spans="1:9" x14ac:dyDescent="0.5">
      <c r="A17" s="6"/>
      <c r="B17" s="6"/>
      <c r="C17" s="6"/>
      <c r="D17" s="6"/>
      <c r="E17" s="6"/>
      <c r="F17" s="6"/>
      <c r="G17" s="6"/>
      <c r="H17" s="6"/>
      <c r="I17" s="6"/>
    </row>
    <row r="18" spans="1:9" x14ac:dyDescent="0.5">
      <c r="A18" s="6"/>
      <c r="F18" s="6"/>
      <c r="G18" s="6"/>
      <c r="H18" s="6"/>
      <c r="I18" s="6"/>
    </row>
    <row r="19" spans="1:9" x14ac:dyDescent="0.5">
      <c r="A19" s="6"/>
      <c r="F19" s="6"/>
      <c r="G19" s="6"/>
      <c r="H19" s="6"/>
      <c r="I19" s="6"/>
    </row>
    <row r="20" spans="1:9" x14ac:dyDescent="0.5">
      <c r="A20" s="6"/>
      <c r="B20" s="6"/>
      <c r="C20" s="6"/>
      <c r="D20" s="6"/>
      <c r="E20" s="6"/>
      <c r="F20" s="6"/>
      <c r="G20" s="6"/>
      <c r="H20" s="6"/>
      <c r="I20" s="6"/>
    </row>
    <row r="21" spans="1:9" x14ac:dyDescent="0.5">
      <c r="A21" s="6"/>
      <c r="B21" s="6"/>
      <c r="C21" s="6"/>
      <c r="D21" s="6"/>
      <c r="E21" s="6"/>
      <c r="F21" s="6"/>
      <c r="G21" s="6"/>
      <c r="H21" s="6"/>
      <c r="I21" s="6"/>
    </row>
    <row r="22" spans="1:9" x14ac:dyDescent="0.5">
      <c r="A22" s="6"/>
      <c r="B22" s="6"/>
      <c r="C22" s="6"/>
      <c r="D22" s="6"/>
      <c r="E22" s="6"/>
      <c r="F22" s="6"/>
      <c r="G22" s="6"/>
      <c r="H22" s="6"/>
      <c r="I22" s="6"/>
    </row>
    <row r="23" spans="1:9" x14ac:dyDescent="0.5">
      <c r="A23" s="6"/>
      <c r="B23" s="6"/>
      <c r="C23" s="6"/>
      <c r="D23" s="6"/>
      <c r="E23" s="6"/>
      <c r="F23" s="6"/>
      <c r="G23" s="6"/>
      <c r="H23" s="6"/>
      <c r="I23" s="6"/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DEE21-CAE6-4D65-A7C7-EDFF87ABA3D7}">
  <dimension ref="A1:I29"/>
  <sheetViews>
    <sheetView zoomScale="85" zoomScaleNormal="85" workbookViewId="0">
      <selection activeCell="C19" sqref="C19"/>
    </sheetView>
  </sheetViews>
  <sheetFormatPr defaultRowHeight="25.8" x14ac:dyDescent="0.5"/>
  <cols>
    <col min="1" max="1" width="3.234375" customWidth="1"/>
    <col min="2" max="2" width="7.46875" customWidth="1"/>
    <col min="3" max="3" width="14.9375" customWidth="1"/>
    <col min="4" max="4" width="12.29296875" customWidth="1"/>
    <col min="5" max="5" width="8.8203125" bestFit="1" customWidth="1"/>
    <col min="6" max="6" width="4.9375" customWidth="1"/>
    <col min="7" max="7" width="6.234375" bestFit="1" customWidth="1"/>
    <col min="8" max="8" width="6.17578125" bestFit="1" customWidth="1"/>
  </cols>
  <sheetData>
    <row r="1" spans="1:9" x14ac:dyDescent="0.5">
      <c r="A1" s="12" t="s">
        <v>177</v>
      </c>
      <c r="B1" s="12"/>
      <c r="C1" s="12"/>
      <c r="D1" s="12"/>
    </row>
    <row r="3" spans="1:9" x14ac:dyDescent="0.5">
      <c r="B3" s="8" t="s">
        <v>0</v>
      </c>
      <c r="C3" s="8" t="s">
        <v>2</v>
      </c>
      <c r="D3" s="8" t="s">
        <v>1</v>
      </c>
      <c r="E3" s="8" t="s">
        <v>3</v>
      </c>
      <c r="F3" s="8" t="s">
        <v>4</v>
      </c>
      <c r="G3" s="8" t="s">
        <v>5</v>
      </c>
      <c r="H3" s="8" t="s">
        <v>6</v>
      </c>
      <c r="I3" s="6"/>
    </row>
    <row r="4" spans="1:9" x14ac:dyDescent="0.5">
      <c r="B4" s="3" t="s">
        <v>7</v>
      </c>
      <c r="C4" s="13" t="s">
        <v>56</v>
      </c>
      <c r="D4" s="14" t="s">
        <v>8</v>
      </c>
      <c r="E4" s="15" t="s">
        <v>10</v>
      </c>
      <c r="F4" s="15">
        <v>2</v>
      </c>
      <c r="G4" s="16">
        <v>2500</v>
      </c>
      <c r="H4" s="16">
        <v>5000</v>
      </c>
      <c r="I4" s="6"/>
    </row>
    <row r="5" spans="1:9" x14ac:dyDescent="0.5">
      <c r="B5" s="3" t="s">
        <v>11</v>
      </c>
      <c r="C5" s="17" t="s">
        <v>57</v>
      </c>
      <c r="D5" s="18" t="s">
        <v>12</v>
      </c>
      <c r="E5" s="19" t="s">
        <v>14</v>
      </c>
      <c r="F5" s="19">
        <v>2</v>
      </c>
      <c r="G5" s="20">
        <v>6000</v>
      </c>
      <c r="H5" s="20">
        <v>12000</v>
      </c>
      <c r="I5" s="6"/>
    </row>
    <row r="6" spans="1:9" x14ac:dyDescent="0.5">
      <c r="B6" s="3" t="s">
        <v>15</v>
      </c>
      <c r="C6" s="17" t="s">
        <v>58</v>
      </c>
      <c r="D6" s="18" t="s">
        <v>16</v>
      </c>
      <c r="E6" s="19" t="s">
        <v>18</v>
      </c>
      <c r="F6" s="19">
        <v>1</v>
      </c>
      <c r="G6" s="20">
        <v>15000</v>
      </c>
      <c r="H6" s="20">
        <v>15000</v>
      </c>
      <c r="I6" s="6"/>
    </row>
    <row r="7" spans="1:9" x14ac:dyDescent="0.5">
      <c r="B7" s="3" t="s">
        <v>15</v>
      </c>
      <c r="C7" s="17" t="s">
        <v>59</v>
      </c>
      <c r="D7" s="18" t="s">
        <v>19</v>
      </c>
      <c r="E7" s="19" t="s">
        <v>21</v>
      </c>
      <c r="F7" s="19">
        <v>2</v>
      </c>
      <c r="G7" s="20">
        <v>150</v>
      </c>
      <c r="H7" s="20">
        <v>300</v>
      </c>
      <c r="I7" s="6"/>
    </row>
    <row r="8" spans="1:9" x14ac:dyDescent="0.5">
      <c r="B8" s="3" t="s">
        <v>22</v>
      </c>
      <c r="C8" s="17" t="s">
        <v>60</v>
      </c>
      <c r="D8" s="18" t="s">
        <v>23</v>
      </c>
      <c r="E8" s="19" t="s">
        <v>25</v>
      </c>
      <c r="F8" s="19">
        <v>3</v>
      </c>
      <c r="G8" s="20">
        <v>500</v>
      </c>
      <c r="H8" s="20">
        <v>1500</v>
      </c>
      <c r="I8" s="6"/>
    </row>
    <row r="9" spans="1:9" x14ac:dyDescent="0.5">
      <c r="B9" s="3" t="s">
        <v>26</v>
      </c>
      <c r="C9" s="17" t="s">
        <v>61</v>
      </c>
      <c r="D9" s="18" t="s">
        <v>27</v>
      </c>
      <c r="E9" s="19" t="s">
        <v>10</v>
      </c>
      <c r="F9" s="19">
        <v>4</v>
      </c>
      <c r="G9" s="20">
        <v>2500</v>
      </c>
      <c r="H9" s="20">
        <v>10000</v>
      </c>
      <c r="I9" s="6"/>
    </row>
    <row r="10" spans="1:9" x14ac:dyDescent="0.5">
      <c r="B10" s="3" t="s">
        <v>29</v>
      </c>
      <c r="C10" s="17" t="s">
        <v>62</v>
      </c>
      <c r="D10" s="18" t="s">
        <v>30</v>
      </c>
      <c r="E10" s="19" t="s">
        <v>32</v>
      </c>
      <c r="F10" s="19">
        <v>4</v>
      </c>
      <c r="G10" s="20">
        <v>20000</v>
      </c>
      <c r="H10" s="20">
        <v>80000</v>
      </c>
      <c r="I10" s="6"/>
    </row>
    <row r="11" spans="1:9" x14ac:dyDescent="0.5">
      <c r="B11" s="3" t="s">
        <v>33</v>
      </c>
      <c r="C11" s="17" t="s">
        <v>63</v>
      </c>
      <c r="D11" s="18" t="s">
        <v>34</v>
      </c>
      <c r="E11" s="19" t="s">
        <v>35</v>
      </c>
      <c r="F11" s="19">
        <v>1</v>
      </c>
      <c r="G11" s="20">
        <v>1500</v>
      </c>
      <c r="H11" s="20">
        <v>1500</v>
      </c>
      <c r="I11" s="6"/>
    </row>
    <row r="12" spans="1:9" x14ac:dyDescent="0.5">
      <c r="B12" s="3" t="s">
        <v>36</v>
      </c>
      <c r="C12" s="17" t="s">
        <v>64</v>
      </c>
      <c r="D12" s="18" t="s">
        <v>37</v>
      </c>
      <c r="E12" s="19" t="s">
        <v>25</v>
      </c>
      <c r="F12" s="19">
        <v>1</v>
      </c>
      <c r="G12" s="20">
        <v>500</v>
      </c>
      <c r="H12" s="20">
        <v>500</v>
      </c>
      <c r="I12" s="6"/>
    </row>
    <row r="13" spans="1:9" x14ac:dyDescent="0.5">
      <c r="B13" s="6"/>
      <c r="C13" s="6"/>
      <c r="D13" s="9"/>
      <c r="E13" s="6"/>
      <c r="F13" s="6"/>
      <c r="G13" s="10"/>
      <c r="H13" s="10"/>
      <c r="I13" s="6"/>
    </row>
    <row r="14" spans="1:9" x14ac:dyDescent="0.5">
      <c r="B14" s="6"/>
      <c r="C14" s="6"/>
      <c r="D14" s="6"/>
      <c r="E14" s="6"/>
      <c r="F14" s="6"/>
      <c r="G14" s="6"/>
      <c r="H14" s="6"/>
      <c r="I14" s="6"/>
    </row>
    <row r="15" spans="1:9" x14ac:dyDescent="0.5">
      <c r="B15" s="7" t="s">
        <v>0</v>
      </c>
      <c r="C15" s="7" t="s">
        <v>2</v>
      </c>
      <c r="D15" s="7" t="s">
        <v>3</v>
      </c>
      <c r="E15" s="7" t="s">
        <v>6</v>
      </c>
      <c r="F15" s="6"/>
      <c r="G15" s="6"/>
      <c r="H15" s="6"/>
      <c r="I15" s="6"/>
    </row>
    <row r="16" spans="1:9" x14ac:dyDescent="0.5">
      <c r="B16" s="3" t="s">
        <v>22</v>
      </c>
      <c r="C16" s="3" t="str" cm="1">
        <f t="array" ref="C16:E16">_xlfn.CHOOSECOLS(_xlfn.XLOOKUP(B16,B3:B12,C3:H12),1,3,6)</f>
        <v>Tariq Khan</v>
      </c>
      <c r="D16" s="3" t="str">
        <v>Charger</v>
      </c>
      <c r="E16" s="3">
        <v>1500</v>
      </c>
      <c r="F16" s="6"/>
      <c r="G16" s="6"/>
      <c r="H16" s="6"/>
      <c r="I16" s="6"/>
    </row>
    <row r="17" spans="2:9" x14ac:dyDescent="0.5">
      <c r="B17" s="6"/>
      <c r="C17" s="6"/>
      <c r="D17" s="6"/>
      <c r="E17" s="6"/>
      <c r="F17" s="6"/>
      <c r="G17" s="6"/>
      <c r="H17" s="6"/>
      <c r="I17" s="6"/>
    </row>
    <row r="18" spans="2:9" x14ac:dyDescent="0.5">
      <c r="B18" s="7" t="s">
        <v>1</v>
      </c>
      <c r="C18" s="7" t="s">
        <v>2</v>
      </c>
      <c r="D18" s="7" t="s">
        <v>3</v>
      </c>
      <c r="E18" s="7" t="s">
        <v>6</v>
      </c>
      <c r="F18" s="6"/>
      <c r="G18" s="6"/>
      <c r="H18" s="6"/>
      <c r="I18" s="6"/>
    </row>
    <row r="19" spans="2:9" x14ac:dyDescent="0.5">
      <c r="B19" s="4" t="s">
        <v>16</v>
      </c>
      <c r="C19" s="4" t="str" cm="1">
        <f t="array" ref="C19:E19">_xlfn.CHOOSECOLS(_xlfn.XLOOKUP(B19,D3:D12,C3:H12),1,3,6)</f>
        <v>Salma Akter</v>
      </c>
      <c r="D19" s="4" t="str">
        <v>Table</v>
      </c>
      <c r="E19" s="3">
        <v>15000</v>
      </c>
      <c r="F19" s="6"/>
      <c r="G19" s="6"/>
      <c r="H19" s="6"/>
      <c r="I19" s="6"/>
    </row>
    <row r="20" spans="2:9" x14ac:dyDescent="0.5">
      <c r="B20" s="6"/>
      <c r="C20" s="6"/>
      <c r="D20" s="6"/>
      <c r="E20" s="6"/>
      <c r="F20" s="6"/>
      <c r="G20" s="6"/>
      <c r="H20" s="6"/>
      <c r="I20" s="6"/>
    </row>
    <row r="28" spans="2:9" x14ac:dyDescent="0.5">
      <c r="C28" s="1" t="s">
        <v>34</v>
      </c>
    </row>
    <row r="29" spans="2:9" x14ac:dyDescent="0.5">
      <c r="C29" s="1" t="s">
        <v>37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2F0A-E388-4FAF-AC22-AC360DBC9CE4}">
  <dimension ref="A1:H20"/>
  <sheetViews>
    <sheetView workbookViewId="0">
      <selection activeCell="C14" sqref="C14"/>
    </sheetView>
  </sheetViews>
  <sheetFormatPr defaultRowHeight="25.8" x14ac:dyDescent="0.5"/>
  <cols>
    <col min="1" max="1" width="3.234375" customWidth="1"/>
    <col min="2" max="2" width="9.3515625" customWidth="1"/>
    <col min="3" max="3" width="10.8203125" customWidth="1"/>
    <col min="4" max="4" width="5.87890625" customWidth="1"/>
    <col min="5" max="5" width="11.234375" customWidth="1"/>
    <col min="6" max="6" width="4.52734375" customWidth="1"/>
    <col min="7" max="7" width="8.05859375" customWidth="1"/>
    <col min="8" max="8" width="7.64453125" customWidth="1"/>
  </cols>
  <sheetData>
    <row r="1" spans="1:8" x14ac:dyDescent="0.5">
      <c r="A1" s="12" t="s">
        <v>178</v>
      </c>
      <c r="B1" s="12"/>
      <c r="C1" s="12"/>
    </row>
    <row r="3" spans="1:8" x14ac:dyDescent="0.5">
      <c r="B3" s="8" t="s">
        <v>0</v>
      </c>
      <c r="C3" s="8" t="s">
        <v>2</v>
      </c>
      <c r="D3" s="8" t="s">
        <v>1</v>
      </c>
      <c r="E3" s="8" t="s">
        <v>3</v>
      </c>
      <c r="F3" s="8" t="s">
        <v>4</v>
      </c>
      <c r="G3" s="8" t="s">
        <v>5</v>
      </c>
      <c r="H3" s="8" t="s">
        <v>6</v>
      </c>
    </row>
    <row r="4" spans="1:8" x14ac:dyDescent="0.5">
      <c r="B4" s="3" t="s">
        <v>7</v>
      </c>
      <c r="C4" s="3" t="s">
        <v>56</v>
      </c>
      <c r="D4" s="4" t="s">
        <v>8</v>
      </c>
      <c r="E4" s="3" t="s">
        <v>10</v>
      </c>
      <c r="F4" s="3">
        <v>2</v>
      </c>
      <c r="G4" s="5">
        <v>2500</v>
      </c>
      <c r="H4" s="5">
        <f>G4*F4</f>
        <v>5000</v>
      </c>
    </row>
    <row r="5" spans="1:8" x14ac:dyDescent="0.5">
      <c r="B5" s="3" t="s">
        <v>11</v>
      </c>
      <c r="C5" s="3" t="s">
        <v>57</v>
      </c>
      <c r="D5" s="4" t="s">
        <v>12</v>
      </c>
      <c r="E5" s="3" t="s">
        <v>14</v>
      </c>
      <c r="F5" s="3">
        <v>2</v>
      </c>
      <c r="G5" s="5">
        <v>6000</v>
      </c>
      <c r="H5" s="5">
        <f t="shared" ref="H5:H12" si="0">G5*F5</f>
        <v>12000</v>
      </c>
    </row>
    <row r="6" spans="1:8" x14ac:dyDescent="0.5">
      <c r="B6" s="3" t="s">
        <v>15</v>
      </c>
      <c r="C6" s="3" t="s">
        <v>58</v>
      </c>
      <c r="D6" s="4" t="s">
        <v>16</v>
      </c>
      <c r="E6" s="3" t="s">
        <v>18</v>
      </c>
      <c r="F6" s="3">
        <v>1</v>
      </c>
      <c r="G6" s="5">
        <v>15000</v>
      </c>
      <c r="H6" s="5">
        <f t="shared" si="0"/>
        <v>15000</v>
      </c>
    </row>
    <row r="7" spans="1:8" x14ac:dyDescent="0.5">
      <c r="B7" s="3" t="s">
        <v>15</v>
      </c>
      <c r="C7" s="3" t="s">
        <v>59</v>
      </c>
      <c r="D7" s="4" t="s">
        <v>19</v>
      </c>
      <c r="E7" s="3" t="s">
        <v>21</v>
      </c>
      <c r="F7" s="3">
        <v>2</v>
      </c>
      <c r="G7" s="5">
        <v>150</v>
      </c>
      <c r="H7" s="5">
        <f t="shared" si="0"/>
        <v>300</v>
      </c>
    </row>
    <row r="8" spans="1:8" x14ac:dyDescent="0.5">
      <c r="B8" s="3" t="s">
        <v>22</v>
      </c>
      <c r="C8" s="3" t="s">
        <v>60</v>
      </c>
      <c r="D8" s="4" t="s">
        <v>23</v>
      </c>
      <c r="E8" s="3" t="s">
        <v>25</v>
      </c>
      <c r="F8" s="3">
        <v>3</v>
      </c>
      <c r="G8" s="5">
        <v>500</v>
      </c>
      <c r="H8" s="5">
        <f t="shared" si="0"/>
        <v>1500</v>
      </c>
    </row>
    <row r="9" spans="1:8" x14ac:dyDescent="0.5">
      <c r="B9" s="3" t="s">
        <v>26</v>
      </c>
      <c r="C9" s="3" t="s">
        <v>61</v>
      </c>
      <c r="D9" s="4" t="s">
        <v>27</v>
      </c>
      <c r="E9" s="3" t="s">
        <v>10</v>
      </c>
      <c r="F9" s="3">
        <v>4</v>
      </c>
      <c r="G9" s="5">
        <v>2500</v>
      </c>
      <c r="H9" s="5">
        <f t="shared" si="0"/>
        <v>10000</v>
      </c>
    </row>
    <row r="10" spans="1:8" x14ac:dyDescent="0.5">
      <c r="B10" s="3" t="s">
        <v>29</v>
      </c>
      <c r="C10" s="3" t="s">
        <v>62</v>
      </c>
      <c r="D10" s="4" t="s">
        <v>30</v>
      </c>
      <c r="E10" s="3" t="s">
        <v>32</v>
      </c>
      <c r="F10" s="3">
        <v>4</v>
      </c>
      <c r="G10" s="5">
        <v>20000</v>
      </c>
      <c r="H10" s="5">
        <f t="shared" si="0"/>
        <v>80000</v>
      </c>
    </row>
    <row r="11" spans="1:8" x14ac:dyDescent="0.5">
      <c r="B11" s="3" t="s">
        <v>33</v>
      </c>
      <c r="C11" s="3" t="s">
        <v>63</v>
      </c>
      <c r="D11" s="4" t="s">
        <v>34</v>
      </c>
      <c r="E11" s="3" t="s">
        <v>35</v>
      </c>
      <c r="F11" s="3">
        <v>1</v>
      </c>
      <c r="G11" s="5">
        <v>1500</v>
      </c>
      <c r="H11" s="5">
        <f t="shared" si="0"/>
        <v>1500</v>
      </c>
    </row>
    <row r="12" spans="1:8" x14ac:dyDescent="0.5">
      <c r="B12" s="3" t="s">
        <v>36</v>
      </c>
      <c r="C12" s="3" t="s">
        <v>64</v>
      </c>
      <c r="D12" s="4" t="s">
        <v>37</v>
      </c>
      <c r="E12" s="3" t="s">
        <v>25</v>
      </c>
      <c r="F12" s="3">
        <v>1</v>
      </c>
      <c r="G12" s="5">
        <v>500</v>
      </c>
      <c r="H12" s="5">
        <f t="shared" si="0"/>
        <v>500</v>
      </c>
    </row>
    <row r="13" spans="1:8" x14ac:dyDescent="0.5">
      <c r="B13" s="6"/>
      <c r="C13" s="6"/>
      <c r="D13" s="9"/>
      <c r="E13" s="6"/>
      <c r="F13" s="6"/>
      <c r="G13" s="10"/>
      <c r="H13" s="10"/>
    </row>
    <row r="14" spans="1:8" x14ac:dyDescent="0.5">
      <c r="B14" s="7" t="s">
        <v>0</v>
      </c>
      <c r="C14" s="7" t="s">
        <v>6</v>
      </c>
      <c r="D14" s="6"/>
      <c r="E14" s="6"/>
      <c r="F14" s="6"/>
      <c r="G14" s="6"/>
      <c r="H14" s="6"/>
    </row>
    <row r="15" spans="1:8" x14ac:dyDescent="0.5">
      <c r="B15" s="3" t="s">
        <v>11</v>
      </c>
      <c r="C15" s="3" cm="1">
        <f t="array" ref="C15">_xlfn.XLOOKUP(B15,B3:B12,_xlfn.XLOOKUP(C14,B3:H3,B3:H12))</f>
        <v>12000</v>
      </c>
      <c r="D15" s="6"/>
      <c r="E15" s="6"/>
      <c r="F15" s="6"/>
      <c r="G15" s="6"/>
      <c r="H15" s="6"/>
    </row>
    <row r="16" spans="1:8" x14ac:dyDescent="0.5">
      <c r="B16" s="6"/>
      <c r="C16" s="6"/>
      <c r="D16" s="6"/>
      <c r="E16" s="6"/>
      <c r="F16" s="6"/>
      <c r="G16" s="6"/>
      <c r="H16" s="6"/>
    </row>
    <row r="17" spans="2:8" x14ac:dyDescent="0.5">
      <c r="B17" s="6"/>
      <c r="C17" s="6"/>
      <c r="D17" s="6"/>
      <c r="E17" s="6"/>
      <c r="F17" s="6"/>
      <c r="G17" s="6"/>
      <c r="H17" s="6"/>
    </row>
    <row r="18" spans="2:8" x14ac:dyDescent="0.5">
      <c r="B18" s="6"/>
      <c r="C18" s="6"/>
      <c r="D18" s="6"/>
      <c r="E18" s="6"/>
      <c r="F18" s="6"/>
      <c r="G18" s="6"/>
      <c r="H18" s="6"/>
    </row>
    <row r="19" spans="2:8" x14ac:dyDescent="0.5">
      <c r="B19" s="6"/>
      <c r="C19" s="6"/>
      <c r="D19" s="6"/>
      <c r="E19" s="6"/>
      <c r="F19" s="6"/>
      <c r="G19" s="6"/>
      <c r="H19" s="6"/>
    </row>
    <row r="20" spans="2:8" x14ac:dyDescent="0.5">
      <c r="B20" s="6"/>
      <c r="C20" s="6"/>
      <c r="D20" s="6"/>
      <c r="E20" s="6"/>
      <c r="F20" s="6"/>
      <c r="G20" s="6"/>
      <c r="H20" s="6"/>
    </row>
  </sheetData>
  <mergeCells count="1">
    <mergeCell ref="A1:C1"/>
  </mergeCells>
  <dataValidations count="1">
    <dataValidation type="list" allowBlank="1" showInputMessage="1" showErrorMessage="1" sqref="C14" xr:uid="{B9D62BED-E663-406D-8D17-2DE193649107}">
      <formula1>$C$3:$H$3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707B9-165E-499A-BB77-BD3316B80505}">
  <dimension ref="A1:H21"/>
  <sheetViews>
    <sheetView workbookViewId="0">
      <selection activeCell="B22" sqref="B22"/>
    </sheetView>
  </sheetViews>
  <sheetFormatPr defaultRowHeight="25.8" x14ac:dyDescent="0.5"/>
  <cols>
    <col min="1" max="1" width="3.234375" customWidth="1"/>
    <col min="2" max="2" width="12.1171875" customWidth="1"/>
    <col min="3" max="3" width="14.64453125" customWidth="1"/>
    <col min="4" max="5" width="13.87890625" customWidth="1"/>
    <col min="6" max="6" width="14" customWidth="1"/>
    <col min="7" max="8" width="12.87890625" customWidth="1"/>
  </cols>
  <sheetData>
    <row r="1" spans="1:8" x14ac:dyDescent="0.5">
      <c r="A1" s="12" t="s">
        <v>179</v>
      </c>
      <c r="B1" s="12"/>
      <c r="C1" s="12"/>
      <c r="D1" s="12"/>
    </row>
    <row r="2" spans="1:8" ht="21.6" customHeight="1" x14ac:dyDescent="0.5"/>
    <row r="3" spans="1:8" ht="22.2" customHeight="1" x14ac:dyDescent="0.5">
      <c r="B3" s="30" t="s">
        <v>0</v>
      </c>
      <c r="C3" s="30" t="s">
        <v>2</v>
      </c>
      <c r="D3" s="30" t="s">
        <v>1</v>
      </c>
      <c r="E3" s="30" t="s">
        <v>3</v>
      </c>
      <c r="F3" s="31" t="s">
        <v>4</v>
      </c>
      <c r="G3" s="31" t="s">
        <v>5</v>
      </c>
      <c r="H3" s="31" t="s">
        <v>6</v>
      </c>
    </row>
    <row r="4" spans="1:8" ht="19.8" customHeight="1" x14ac:dyDescent="0.5">
      <c r="B4" s="21" t="s">
        <v>7</v>
      </c>
      <c r="C4" s="21" t="s">
        <v>56</v>
      </c>
      <c r="D4" s="22" t="s">
        <v>8</v>
      </c>
      <c r="E4" s="21" t="s">
        <v>10</v>
      </c>
      <c r="F4" s="11">
        <v>2</v>
      </c>
      <c r="G4" s="23">
        <v>1380</v>
      </c>
      <c r="H4" s="23">
        <v>2760</v>
      </c>
    </row>
    <row r="5" spans="1:8" ht="21" customHeight="1" x14ac:dyDescent="0.5">
      <c r="B5" s="21" t="s">
        <v>11</v>
      </c>
      <c r="C5" s="21" t="s">
        <v>57</v>
      </c>
      <c r="D5" s="22" t="s">
        <v>12</v>
      </c>
      <c r="E5" s="21" t="s">
        <v>14</v>
      </c>
      <c r="F5" s="11">
        <v>2</v>
      </c>
      <c r="G5" s="23">
        <v>5848</v>
      </c>
      <c r="H5" s="23">
        <v>11697</v>
      </c>
    </row>
    <row r="6" spans="1:8" ht="21" customHeight="1" x14ac:dyDescent="0.5">
      <c r="B6" s="21" t="s">
        <v>15</v>
      </c>
      <c r="C6" s="21" t="s">
        <v>58</v>
      </c>
      <c r="D6" s="22" t="s">
        <v>16</v>
      </c>
      <c r="E6" s="21" t="s">
        <v>18</v>
      </c>
      <c r="F6" s="11">
        <v>1</v>
      </c>
      <c r="G6" s="23">
        <v>15208</v>
      </c>
      <c r="H6" s="23">
        <v>15208</v>
      </c>
    </row>
    <row r="7" spans="1:8" ht="20.399999999999999" customHeight="1" x14ac:dyDescent="0.5">
      <c r="B7" s="21" t="s">
        <v>52</v>
      </c>
      <c r="C7" s="21" t="s">
        <v>59</v>
      </c>
      <c r="D7" s="22" t="s">
        <v>19</v>
      </c>
      <c r="E7" s="21" t="s">
        <v>21</v>
      </c>
      <c r="F7" s="11">
        <v>2</v>
      </c>
      <c r="G7" s="23">
        <v>156</v>
      </c>
      <c r="H7" s="23">
        <v>313</v>
      </c>
    </row>
    <row r="8" spans="1:8" ht="21" customHeight="1" x14ac:dyDescent="0.5">
      <c r="B8" s="24"/>
      <c r="C8" s="24"/>
      <c r="D8" s="24"/>
      <c r="E8" s="24"/>
      <c r="F8" s="25"/>
      <c r="G8" s="25"/>
      <c r="H8" s="25"/>
    </row>
    <row r="9" spans="1:8" ht="22.2" customHeight="1" x14ac:dyDescent="0.5">
      <c r="B9" s="30" t="s">
        <v>0</v>
      </c>
      <c r="C9" s="30" t="s">
        <v>2</v>
      </c>
      <c r="D9" s="30" t="s">
        <v>1</v>
      </c>
      <c r="E9" s="30" t="s">
        <v>3</v>
      </c>
      <c r="F9" s="31" t="s">
        <v>4</v>
      </c>
      <c r="G9" s="31" t="s">
        <v>5</v>
      </c>
      <c r="H9" s="31" t="s">
        <v>6</v>
      </c>
    </row>
    <row r="10" spans="1:8" ht="19.2" customHeight="1" x14ac:dyDescent="0.5">
      <c r="B10" s="21" t="s">
        <v>22</v>
      </c>
      <c r="C10" s="21" t="s">
        <v>60</v>
      </c>
      <c r="D10" s="22" t="s">
        <v>23</v>
      </c>
      <c r="E10" s="21" t="s">
        <v>25</v>
      </c>
      <c r="F10" s="11">
        <v>3</v>
      </c>
      <c r="G10" s="23">
        <v>280</v>
      </c>
      <c r="H10" s="23">
        <v>840</v>
      </c>
    </row>
    <row r="11" spans="1:8" ht="19.2" customHeight="1" x14ac:dyDescent="0.5">
      <c r="B11" s="21" t="s">
        <v>26</v>
      </c>
      <c r="C11" s="21" t="s">
        <v>61</v>
      </c>
      <c r="D11" s="22" t="s">
        <v>27</v>
      </c>
      <c r="E11" s="21" t="s">
        <v>10</v>
      </c>
      <c r="F11" s="11">
        <v>4</v>
      </c>
      <c r="G11" s="23">
        <v>1380</v>
      </c>
      <c r="H11" s="23">
        <v>5520</v>
      </c>
    </row>
    <row r="12" spans="1:8" ht="19.8" customHeight="1" x14ac:dyDescent="0.5">
      <c r="B12" s="21" t="s">
        <v>29</v>
      </c>
      <c r="C12" s="21" t="s">
        <v>62</v>
      </c>
      <c r="D12" s="22" t="s">
        <v>30</v>
      </c>
      <c r="E12" s="21" t="s">
        <v>32</v>
      </c>
      <c r="F12" s="11">
        <v>4</v>
      </c>
      <c r="G12" s="23">
        <v>27025</v>
      </c>
      <c r="H12" s="23">
        <v>108100</v>
      </c>
    </row>
    <row r="13" spans="1:8" ht="19.2" customHeight="1" x14ac:dyDescent="0.5">
      <c r="B13" s="21" t="s">
        <v>33</v>
      </c>
      <c r="C13" s="21" t="s">
        <v>63</v>
      </c>
      <c r="D13" s="22" t="s">
        <v>34</v>
      </c>
      <c r="E13" s="21" t="s">
        <v>35</v>
      </c>
      <c r="F13" s="11">
        <v>1</v>
      </c>
      <c r="G13" s="23">
        <v>1400</v>
      </c>
      <c r="H13" s="23">
        <v>1400</v>
      </c>
    </row>
    <row r="14" spans="1:8" ht="20.399999999999999" customHeight="1" x14ac:dyDescent="0.5">
      <c r="B14" s="24"/>
      <c r="C14" s="24"/>
      <c r="D14" s="26"/>
      <c r="E14" s="24"/>
      <c r="F14" s="25"/>
      <c r="G14" s="27"/>
      <c r="H14" s="27"/>
    </row>
    <row r="15" spans="1:8" ht="21.6" customHeight="1" x14ac:dyDescent="0.5">
      <c r="B15" s="30" t="s">
        <v>0</v>
      </c>
      <c r="C15" s="30" t="s">
        <v>2</v>
      </c>
      <c r="D15" s="30" t="s">
        <v>1</v>
      </c>
      <c r="E15" s="30" t="s">
        <v>3</v>
      </c>
      <c r="F15" s="31" t="s">
        <v>4</v>
      </c>
      <c r="G15" s="31" t="s">
        <v>5</v>
      </c>
      <c r="H15" s="31" t="s">
        <v>6</v>
      </c>
    </row>
    <row r="16" spans="1:8" ht="21.6" customHeight="1" x14ac:dyDescent="0.5">
      <c r="B16" s="21" t="s">
        <v>36</v>
      </c>
      <c r="C16" s="21" t="s">
        <v>64</v>
      </c>
      <c r="D16" s="22" t="s">
        <v>37</v>
      </c>
      <c r="E16" s="21" t="s">
        <v>25</v>
      </c>
      <c r="F16" s="11">
        <v>1</v>
      </c>
      <c r="G16" s="23">
        <v>280</v>
      </c>
      <c r="H16" s="23">
        <v>280</v>
      </c>
    </row>
    <row r="17" spans="2:8" ht="21" customHeight="1" x14ac:dyDescent="0.5">
      <c r="B17" s="21" t="s">
        <v>53</v>
      </c>
      <c r="C17" s="21" t="s">
        <v>65</v>
      </c>
      <c r="D17" s="22" t="s">
        <v>39</v>
      </c>
      <c r="E17" s="21" t="s">
        <v>10</v>
      </c>
      <c r="F17" s="11">
        <v>1</v>
      </c>
      <c r="G17" s="23">
        <v>15208</v>
      </c>
      <c r="H17" s="23">
        <v>15208</v>
      </c>
    </row>
    <row r="18" spans="2:8" ht="20.399999999999999" customHeight="1" x14ac:dyDescent="0.5">
      <c r="B18" s="21" t="s">
        <v>54</v>
      </c>
      <c r="C18" s="21" t="s">
        <v>66</v>
      </c>
      <c r="D18" s="22" t="s">
        <v>41</v>
      </c>
      <c r="E18" s="21" t="s">
        <v>14</v>
      </c>
      <c r="F18" s="11">
        <v>2</v>
      </c>
      <c r="G18" s="23">
        <v>156</v>
      </c>
      <c r="H18" s="23">
        <v>313</v>
      </c>
    </row>
    <row r="19" spans="2:8" ht="20.399999999999999" customHeight="1" x14ac:dyDescent="0.5">
      <c r="B19" s="6"/>
      <c r="C19" s="6"/>
      <c r="D19" s="6"/>
      <c r="E19" s="6"/>
      <c r="F19" s="25"/>
      <c r="G19" s="25"/>
      <c r="H19" s="25"/>
    </row>
    <row r="20" spans="2:8" ht="24" customHeight="1" x14ac:dyDescent="0.5">
      <c r="B20" s="28" t="s">
        <v>0</v>
      </c>
      <c r="C20" s="28" t="s">
        <v>2</v>
      </c>
      <c r="D20" s="28" t="s">
        <v>1</v>
      </c>
      <c r="E20" s="28" t="s">
        <v>3</v>
      </c>
      <c r="F20" s="29" t="s">
        <v>4</v>
      </c>
      <c r="G20" s="29" t="s">
        <v>5</v>
      </c>
      <c r="H20" s="29" t="s">
        <v>6</v>
      </c>
    </row>
    <row r="21" spans="2:8" ht="25.8" customHeight="1" x14ac:dyDescent="0.5">
      <c r="B21" s="3" t="s">
        <v>22</v>
      </c>
      <c r="C21" s="3" t="str" cm="1">
        <f t="array" ref="C21:H21">_xlfn.XLOOKUP(B21,B3:B7,C3:H7,_xlfn.XLOOKUP(B21,B9:B13,C9:H13,_xlfn.XLOOKUP(B21,B15:B18,C15:H18)))</f>
        <v>Tariq Khan</v>
      </c>
      <c r="D21" s="3" t="str">
        <v>CU05</v>
      </c>
      <c r="E21" s="3" t="str">
        <v>Charger</v>
      </c>
      <c r="F21" s="11">
        <v>3</v>
      </c>
      <c r="G21" s="11">
        <v>280</v>
      </c>
      <c r="H21" s="11">
        <v>840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26E48-5654-41F9-A657-9AF95949EA38}">
  <dimension ref="A1:G15"/>
  <sheetViews>
    <sheetView workbookViewId="0">
      <selection activeCell="G13" sqref="G13"/>
    </sheetView>
  </sheetViews>
  <sheetFormatPr defaultRowHeight="25.8" x14ac:dyDescent="0.5"/>
  <cols>
    <col min="1" max="1" width="3.234375" customWidth="1"/>
    <col min="2" max="2" width="6.234375" customWidth="1"/>
    <col min="3" max="3" width="9.76171875" bestFit="1" customWidth="1"/>
    <col min="4" max="4" width="5.3515625" customWidth="1"/>
    <col min="5" max="5" width="8.52734375" bestFit="1" customWidth="1"/>
    <col min="6" max="6" width="5.46875" customWidth="1"/>
    <col min="7" max="7" width="6" bestFit="1" customWidth="1"/>
  </cols>
  <sheetData>
    <row r="1" spans="1:7" x14ac:dyDescent="0.5">
      <c r="A1" s="12" t="s">
        <v>180</v>
      </c>
      <c r="B1" s="12"/>
      <c r="C1" s="12"/>
    </row>
    <row r="3" spans="1:7" x14ac:dyDescent="0.5">
      <c r="B3" s="8" t="s">
        <v>0</v>
      </c>
      <c r="C3" s="8" t="s">
        <v>2</v>
      </c>
      <c r="D3" s="8" t="s">
        <v>1</v>
      </c>
      <c r="E3" s="8" t="s">
        <v>3</v>
      </c>
      <c r="F3" s="8" t="s">
        <v>4</v>
      </c>
      <c r="G3" s="8" t="s">
        <v>5</v>
      </c>
    </row>
    <row r="4" spans="1:7" x14ac:dyDescent="0.5">
      <c r="B4" s="3" t="s">
        <v>7</v>
      </c>
      <c r="C4" s="3" t="s">
        <v>9</v>
      </c>
      <c r="D4" s="4" t="s">
        <v>8</v>
      </c>
      <c r="E4" s="3" t="s">
        <v>10</v>
      </c>
      <c r="F4" s="3">
        <v>2</v>
      </c>
      <c r="G4" s="5">
        <v>1380</v>
      </c>
    </row>
    <row r="5" spans="1:7" x14ac:dyDescent="0.5">
      <c r="B5" s="3" t="s">
        <v>74</v>
      </c>
      <c r="C5" s="3" t="s">
        <v>13</v>
      </c>
      <c r="D5" s="4" t="s">
        <v>12</v>
      </c>
      <c r="E5" s="3" t="s">
        <v>14</v>
      </c>
      <c r="F5" s="3">
        <v>2</v>
      </c>
      <c r="G5" s="5">
        <v>5848</v>
      </c>
    </row>
    <row r="6" spans="1:7" x14ac:dyDescent="0.5">
      <c r="B6" s="3" t="s">
        <v>15</v>
      </c>
      <c r="C6" s="3" t="s">
        <v>17</v>
      </c>
      <c r="D6" s="4" t="s">
        <v>16</v>
      </c>
      <c r="E6" s="3" t="s">
        <v>18</v>
      </c>
      <c r="F6" s="3">
        <v>1</v>
      </c>
      <c r="G6" s="5">
        <v>15208</v>
      </c>
    </row>
    <row r="7" spans="1:7" x14ac:dyDescent="0.5">
      <c r="B7" s="3" t="s">
        <v>15</v>
      </c>
      <c r="C7" s="3" t="s">
        <v>20</v>
      </c>
      <c r="D7" s="4" t="s">
        <v>19</v>
      </c>
      <c r="E7" s="3" t="s">
        <v>21</v>
      </c>
      <c r="F7" s="3">
        <v>2</v>
      </c>
      <c r="G7" s="5">
        <v>156</v>
      </c>
    </row>
    <row r="8" spans="1:7" x14ac:dyDescent="0.5">
      <c r="B8" s="3" t="s">
        <v>73</v>
      </c>
      <c r="C8" s="3" t="s">
        <v>24</v>
      </c>
      <c r="D8" s="4" t="s">
        <v>23</v>
      </c>
      <c r="E8" s="3" t="s">
        <v>25</v>
      </c>
      <c r="F8" s="3">
        <v>3</v>
      </c>
      <c r="G8" s="5">
        <v>280</v>
      </c>
    </row>
    <row r="9" spans="1:7" x14ac:dyDescent="0.5">
      <c r="B9" s="3" t="s">
        <v>26</v>
      </c>
      <c r="C9" s="3" t="s">
        <v>28</v>
      </c>
      <c r="D9" s="4" t="s">
        <v>27</v>
      </c>
      <c r="E9" s="3" t="s">
        <v>10</v>
      </c>
      <c r="F9" s="3">
        <v>4</v>
      </c>
      <c r="G9" s="5">
        <v>1380</v>
      </c>
    </row>
    <row r="10" spans="1:7" x14ac:dyDescent="0.5">
      <c r="B10" s="3" t="s">
        <v>72</v>
      </c>
      <c r="C10" s="3" t="s">
        <v>31</v>
      </c>
      <c r="D10" s="4" t="s">
        <v>30</v>
      </c>
      <c r="E10" s="3" t="s">
        <v>32</v>
      </c>
      <c r="F10" s="3">
        <v>4</v>
      </c>
      <c r="G10" s="5">
        <v>27025</v>
      </c>
    </row>
    <row r="11" spans="1:7" x14ac:dyDescent="0.5">
      <c r="B11" s="3" t="s">
        <v>33</v>
      </c>
      <c r="C11" s="3" t="s">
        <v>13</v>
      </c>
      <c r="D11" s="4" t="s">
        <v>34</v>
      </c>
      <c r="E11" s="3" t="s">
        <v>35</v>
      </c>
      <c r="F11" s="3">
        <v>1</v>
      </c>
      <c r="G11" s="5">
        <v>1400</v>
      </c>
    </row>
    <row r="12" spans="1:7" x14ac:dyDescent="0.5">
      <c r="B12" s="3" t="s">
        <v>36</v>
      </c>
      <c r="C12" s="3" t="s">
        <v>9</v>
      </c>
      <c r="D12" s="4" t="s">
        <v>37</v>
      </c>
      <c r="E12" s="3" t="s">
        <v>25</v>
      </c>
      <c r="F12" s="3">
        <v>1</v>
      </c>
      <c r="G12" s="5">
        <v>280</v>
      </c>
    </row>
    <row r="13" spans="1:7" x14ac:dyDescent="0.5">
      <c r="B13" s="6"/>
      <c r="C13" s="6"/>
      <c r="D13" s="9"/>
      <c r="E13" s="6"/>
      <c r="F13" s="6"/>
      <c r="G13" s="10"/>
    </row>
    <row r="14" spans="1:7" x14ac:dyDescent="0.5">
      <c r="B14" s="33" t="s">
        <v>0</v>
      </c>
      <c r="C14" s="33" t="s">
        <v>2</v>
      </c>
      <c r="D14" s="6"/>
      <c r="E14" s="6"/>
      <c r="F14" s="6"/>
      <c r="G14" s="6"/>
    </row>
    <row r="15" spans="1:7" x14ac:dyDescent="0.5">
      <c r="B15" s="3" t="s">
        <v>29</v>
      </c>
      <c r="C15" s="3" t="str" cm="1">
        <f t="array" ref="C15">_xlfn.XLOOKUP(B15,TRIM(B3:B12),C3:C12)</f>
        <v>Sneha Verma</v>
      </c>
      <c r="D15" s="6"/>
      <c r="E15" s="6"/>
      <c r="F15" s="6"/>
      <c r="G15" s="6"/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60FE-260D-48DD-A369-EEFD95528221}">
  <dimension ref="A1:I45"/>
  <sheetViews>
    <sheetView tabSelected="1" topLeftCell="A25" workbookViewId="0">
      <selection activeCell="K31" sqref="K31"/>
    </sheetView>
  </sheetViews>
  <sheetFormatPr defaultColWidth="9.46875" defaultRowHeight="20.399999999999999" customHeight="1" x14ac:dyDescent="0.35"/>
  <cols>
    <col min="1" max="1" width="9.46875" style="6"/>
    <col min="2" max="2" width="13.87890625" style="6" bestFit="1" customWidth="1"/>
    <col min="3" max="3" width="9.46875" style="6"/>
    <col min="4" max="4" width="6.29296875" style="6" bestFit="1" customWidth="1"/>
    <col min="5" max="5" width="11.87890625" style="6" bestFit="1" customWidth="1"/>
    <col min="6" max="6" width="8.9375" style="6" bestFit="1" customWidth="1"/>
    <col min="7" max="7" width="7.41015625" style="6" bestFit="1" customWidth="1"/>
    <col min="8" max="8" width="10.52734375" style="6" bestFit="1" customWidth="1"/>
    <col min="9" max="9" width="9.703125" style="6" bestFit="1" customWidth="1"/>
    <col min="10" max="16384" width="9.46875" style="6"/>
  </cols>
  <sheetData>
    <row r="1" spans="1:9" ht="20.399999999999999" customHeight="1" x14ac:dyDescent="0.35">
      <c r="A1" s="34" t="s">
        <v>75</v>
      </c>
      <c r="B1" s="34" t="s">
        <v>76</v>
      </c>
      <c r="C1" s="34" t="s">
        <v>77</v>
      </c>
      <c r="D1" s="35" t="s">
        <v>78</v>
      </c>
      <c r="E1" s="34" t="s">
        <v>79</v>
      </c>
      <c r="F1" s="34" t="s">
        <v>80</v>
      </c>
      <c r="G1" s="34" t="s">
        <v>81</v>
      </c>
      <c r="H1" s="35" t="s">
        <v>82</v>
      </c>
      <c r="I1" s="34" t="s">
        <v>83</v>
      </c>
    </row>
    <row r="2" spans="1:9" ht="20.399999999999999" customHeight="1" x14ac:dyDescent="0.35">
      <c r="A2" s="32" t="s">
        <v>84</v>
      </c>
      <c r="B2" s="32" t="s">
        <v>56</v>
      </c>
      <c r="C2" s="32" t="s">
        <v>94</v>
      </c>
      <c r="D2" s="36">
        <v>28667</v>
      </c>
      <c r="E2" s="32">
        <v>1</v>
      </c>
      <c r="F2" s="32" t="s">
        <v>86</v>
      </c>
      <c r="G2" s="32" t="s">
        <v>87</v>
      </c>
      <c r="H2" s="36">
        <v>43958</v>
      </c>
      <c r="I2" s="32" t="s">
        <v>88</v>
      </c>
    </row>
    <row r="3" spans="1:9" ht="20.399999999999999" customHeight="1" x14ac:dyDescent="0.35">
      <c r="A3" s="32" t="s">
        <v>89</v>
      </c>
      <c r="B3" s="32" t="s">
        <v>57</v>
      </c>
      <c r="C3" s="32" t="s">
        <v>94</v>
      </c>
      <c r="D3" s="36">
        <v>26842</v>
      </c>
      <c r="E3" s="32">
        <v>3</v>
      </c>
      <c r="F3" s="32" t="s">
        <v>90</v>
      </c>
      <c r="G3" s="32" t="s">
        <v>91</v>
      </c>
      <c r="H3" s="36">
        <v>44037</v>
      </c>
      <c r="I3" s="32" t="s">
        <v>92</v>
      </c>
    </row>
    <row r="4" spans="1:9" ht="20.399999999999999" customHeight="1" x14ac:dyDescent="0.35">
      <c r="A4" s="32" t="s">
        <v>93</v>
      </c>
      <c r="B4" s="32" t="s">
        <v>58</v>
      </c>
      <c r="C4" s="32" t="s">
        <v>85</v>
      </c>
      <c r="D4" s="36">
        <v>37427</v>
      </c>
      <c r="E4" s="32">
        <v>5</v>
      </c>
      <c r="F4" s="32" t="s">
        <v>95</v>
      </c>
      <c r="G4" s="32" t="s">
        <v>96</v>
      </c>
      <c r="H4" s="36">
        <v>44130</v>
      </c>
      <c r="I4" s="32" t="s">
        <v>97</v>
      </c>
    </row>
    <row r="5" spans="1:9" ht="20.399999999999999" customHeight="1" x14ac:dyDescent="0.35">
      <c r="A5" s="32" t="s">
        <v>98</v>
      </c>
      <c r="B5" s="32" t="s">
        <v>59</v>
      </c>
      <c r="C5" s="32" t="s">
        <v>85</v>
      </c>
      <c r="D5" s="36">
        <v>31587</v>
      </c>
      <c r="E5" s="32">
        <v>4</v>
      </c>
      <c r="F5" s="32" t="s">
        <v>99</v>
      </c>
      <c r="G5" s="32" t="s">
        <v>100</v>
      </c>
      <c r="H5" s="36">
        <v>45259</v>
      </c>
      <c r="I5" s="32" t="s">
        <v>101</v>
      </c>
    </row>
    <row r="6" spans="1:9" ht="20.399999999999999" customHeight="1" x14ac:dyDescent="0.35">
      <c r="A6" s="32" t="s">
        <v>102</v>
      </c>
      <c r="B6" s="32" t="s">
        <v>60</v>
      </c>
      <c r="C6" s="32" t="s">
        <v>94</v>
      </c>
      <c r="D6" s="36">
        <v>29762</v>
      </c>
      <c r="E6" s="32">
        <v>1</v>
      </c>
      <c r="F6" s="32" t="s">
        <v>103</v>
      </c>
      <c r="G6" s="32" t="s">
        <v>104</v>
      </c>
      <c r="H6" s="36">
        <v>44279</v>
      </c>
      <c r="I6" s="32" t="s">
        <v>105</v>
      </c>
    </row>
    <row r="7" spans="1:9" ht="20.399999999999999" customHeight="1" x14ac:dyDescent="0.35">
      <c r="A7" s="32" t="s">
        <v>106</v>
      </c>
      <c r="B7" s="32" t="s">
        <v>61</v>
      </c>
      <c r="C7" s="32" t="s">
        <v>94</v>
      </c>
      <c r="D7" s="36">
        <v>32317</v>
      </c>
      <c r="E7" s="32">
        <v>3</v>
      </c>
      <c r="F7" s="32" t="s">
        <v>107</v>
      </c>
      <c r="G7" s="32" t="s">
        <v>96</v>
      </c>
      <c r="H7" s="36">
        <v>43923</v>
      </c>
      <c r="I7" s="32" t="s">
        <v>108</v>
      </c>
    </row>
    <row r="8" spans="1:9" ht="20.399999999999999" customHeight="1" x14ac:dyDescent="0.35">
      <c r="A8" s="32" t="s">
        <v>109</v>
      </c>
      <c r="B8" s="32" t="s">
        <v>62</v>
      </c>
      <c r="C8" s="32" t="s">
        <v>85</v>
      </c>
      <c r="D8" s="36">
        <v>25382</v>
      </c>
      <c r="E8" s="32">
        <v>5</v>
      </c>
      <c r="F8" s="32" t="s">
        <v>103</v>
      </c>
      <c r="G8" s="32" t="s">
        <v>104</v>
      </c>
      <c r="H8" s="36">
        <v>45006</v>
      </c>
      <c r="I8" s="32" t="s">
        <v>110</v>
      </c>
    </row>
    <row r="9" spans="1:9" ht="20.399999999999999" customHeight="1" x14ac:dyDescent="0.35">
      <c r="A9" s="32" t="s">
        <v>111</v>
      </c>
      <c r="B9" s="32" t="s">
        <v>63</v>
      </c>
      <c r="C9" s="32" t="s">
        <v>94</v>
      </c>
      <c r="D9" s="36">
        <v>25017</v>
      </c>
      <c r="E9" s="32">
        <v>3</v>
      </c>
      <c r="F9" s="32" t="s">
        <v>112</v>
      </c>
      <c r="G9" s="32" t="s">
        <v>113</v>
      </c>
      <c r="H9" s="36">
        <v>45129</v>
      </c>
      <c r="I9" s="32" t="s">
        <v>114</v>
      </c>
    </row>
    <row r="10" spans="1:9" ht="20.399999999999999" customHeight="1" x14ac:dyDescent="0.35">
      <c r="A10" s="32" t="s">
        <v>115</v>
      </c>
      <c r="B10" s="32" t="s">
        <v>64</v>
      </c>
      <c r="C10" s="32" t="s">
        <v>85</v>
      </c>
      <c r="D10" s="36">
        <v>34872</v>
      </c>
      <c r="E10" s="32">
        <v>6</v>
      </c>
      <c r="F10" s="32" t="s">
        <v>99</v>
      </c>
      <c r="G10" s="32" t="s">
        <v>100</v>
      </c>
      <c r="H10" s="36">
        <v>44925</v>
      </c>
      <c r="I10" s="32" t="s">
        <v>116</v>
      </c>
    </row>
    <row r="11" spans="1:9" ht="20.399999999999999" customHeight="1" x14ac:dyDescent="0.35">
      <c r="A11" s="32" t="s">
        <v>117</v>
      </c>
      <c r="B11" s="32" t="s">
        <v>65</v>
      </c>
      <c r="C11" s="32" t="s">
        <v>94</v>
      </c>
      <c r="D11" s="36">
        <v>26842</v>
      </c>
      <c r="E11" s="32">
        <v>1</v>
      </c>
      <c r="F11" s="32" t="s">
        <v>118</v>
      </c>
      <c r="G11" s="32" t="s">
        <v>119</v>
      </c>
      <c r="H11" s="36">
        <v>45064</v>
      </c>
      <c r="I11" s="32" t="s">
        <v>120</v>
      </c>
    </row>
    <row r="12" spans="1:9" ht="20.399999999999999" customHeight="1" x14ac:dyDescent="0.35">
      <c r="A12" s="32" t="s">
        <v>121</v>
      </c>
      <c r="B12" s="32" t="s">
        <v>66</v>
      </c>
      <c r="C12" s="32" t="s">
        <v>94</v>
      </c>
      <c r="D12" s="36">
        <v>28667</v>
      </c>
      <c r="E12" s="32">
        <v>5</v>
      </c>
      <c r="F12" s="32" t="s">
        <v>122</v>
      </c>
      <c r="G12" s="32" t="s">
        <v>123</v>
      </c>
      <c r="H12" s="36">
        <v>45224</v>
      </c>
      <c r="I12" s="32" t="s">
        <v>124</v>
      </c>
    </row>
    <row r="13" spans="1:9" ht="20.399999999999999" customHeight="1" x14ac:dyDescent="0.35">
      <c r="A13" s="32" t="s">
        <v>125</v>
      </c>
      <c r="B13" s="32" t="s">
        <v>67</v>
      </c>
      <c r="C13" s="32" t="s">
        <v>85</v>
      </c>
      <c r="D13" s="36">
        <v>29397</v>
      </c>
      <c r="E13" s="32">
        <v>3</v>
      </c>
      <c r="F13" s="32" t="s">
        <v>122</v>
      </c>
      <c r="G13" s="32" t="s">
        <v>123</v>
      </c>
      <c r="H13" s="36">
        <v>43982</v>
      </c>
      <c r="I13" s="32" t="s">
        <v>126</v>
      </c>
    </row>
    <row r="14" spans="1:9" ht="20.399999999999999" customHeight="1" x14ac:dyDescent="0.35">
      <c r="A14" s="32" t="s">
        <v>127</v>
      </c>
      <c r="B14" s="32" t="s">
        <v>68</v>
      </c>
      <c r="C14" s="32" t="s">
        <v>94</v>
      </c>
      <c r="D14" s="36">
        <v>27572</v>
      </c>
      <c r="E14" s="32">
        <v>5</v>
      </c>
      <c r="F14" s="32" t="s">
        <v>128</v>
      </c>
      <c r="G14" s="32" t="s">
        <v>104</v>
      </c>
      <c r="H14" s="36">
        <v>43885</v>
      </c>
      <c r="I14" s="32" t="s">
        <v>129</v>
      </c>
    </row>
    <row r="15" spans="1:9" ht="20.399999999999999" customHeight="1" x14ac:dyDescent="0.35">
      <c r="A15" s="32" t="s">
        <v>130</v>
      </c>
      <c r="B15" s="32" t="s">
        <v>69</v>
      </c>
      <c r="C15" s="32" t="s">
        <v>85</v>
      </c>
      <c r="D15" s="36">
        <v>33777</v>
      </c>
      <c r="E15" s="32">
        <v>2</v>
      </c>
      <c r="F15" s="32" t="s">
        <v>103</v>
      </c>
      <c r="G15" s="32" t="s">
        <v>104</v>
      </c>
      <c r="H15" s="36">
        <v>44085</v>
      </c>
      <c r="I15" s="32" t="s">
        <v>131</v>
      </c>
    </row>
    <row r="16" spans="1:9" ht="20.399999999999999" customHeight="1" x14ac:dyDescent="0.35">
      <c r="A16" s="32" t="s">
        <v>132</v>
      </c>
      <c r="B16" s="32" t="s">
        <v>70</v>
      </c>
      <c r="C16" s="32" t="s">
        <v>94</v>
      </c>
      <c r="D16" s="36">
        <v>38522</v>
      </c>
      <c r="E16" s="32">
        <v>5</v>
      </c>
      <c r="F16" s="32" t="s">
        <v>112</v>
      </c>
      <c r="G16" s="32" t="s">
        <v>113</v>
      </c>
      <c r="H16" s="36">
        <v>45131</v>
      </c>
      <c r="I16" s="32" t="s">
        <v>133</v>
      </c>
    </row>
    <row r="17" spans="1:9" ht="20.399999999999999" customHeight="1" x14ac:dyDescent="0.35">
      <c r="A17" s="32" t="s">
        <v>134</v>
      </c>
      <c r="B17" s="32" t="s">
        <v>71</v>
      </c>
      <c r="C17" s="32" t="s">
        <v>85</v>
      </c>
      <c r="D17" s="36">
        <v>26842</v>
      </c>
      <c r="E17" s="32">
        <v>5</v>
      </c>
      <c r="F17" s="32" t="s">
        <v>122</v>
      </c>
      <c r="G17" s="32" t="s">
        <v>123</v>
      </c>
      <c r="H17" s="36">
        <v>44217</v>
      </c>
      <c r="I17" s="32" t="s">
        <v>135</v>
      </c>
    </row>
    <row r="18" spans="1:9" ht="20.399999999999999" customHeight="1" x14ac:dyDescent="0.35">
      <c r="A18" s="32" t="s">
        <v>136</v>
      </c>
      <c r="B18" s="32" t="s">
        <v>137</v>
      </c>
      <c r="C18" s="32" t="s">
        <v>94</v>
      </c>
      <c r="D18" s="36">
        <v>39617</v>
      </c>
      <c r="E18" s="32">
        <v>5</v>
      </c>
      <c r="F18" s="32" t="s">
        <v>138</v>
      </c>
      <c r="G18" s="32" t="s">
        <v>87</v>
      </c>
      <c r="H18" s="36">
        <v>45072</v>
      </c>
      <c r="I18" s="32" t="s">
        <v>139</v>
      </c>
    </row>
    <row r="19" spans="1:9" ht="20.399999999999999" customHeight="1" x14ac:dyDescent="0.35">
      <c r="A19" s="32" t="s">
        <v>140</v>
      </c>
      <c r="B19" s="32" t="s">
        <v>141</v>
      </c>
      <c r="C19" s="32" t="s">
        <v>94</v>
      </c>
      <c r="D19" s="36">
        <v>37792</v>
      </c>
      <c r="E19" s="32">
        <v>3</v>
      </c>
      <c r="F19" s="32" t="s">
        <v>142</v>
      </c>
      <c r="G19" s="32" t="s">
        <v>100</v>
      </c>
      <c r="H19" s="36">
        <v>45010</v>
      </c>
      <c r="I19" s="32" t="s">
        <v>143</v>
      </c>
    </row>
    <row r="20" spans="1:9" ht="20.399999999999999" customHeight="1" x14ac:dyDescent="0.35">
      <c r="A20" s="32" t="s">
        <v>144</v>
      </c>
      <c r="B20" s="32" t="s">
        <v>145</v>
      </c>
      <c r="C20" s="32" t="s">
        <v>94</v>
      </c>
      <c r="D20" s="36">
        <v>22827</v>
      </c>
      <c r="E20" s="32">
        <v>4</v>
      </c>
      <c r="F20" s="32" t="s">
        <v>146</v>
      </c>
      <c r="G20" s="32" t="s">
        <v>96</v>
      </c>
      <c r="H20" s="36">
        <v>44076</v>
      </c>
      <c r="I20" s="32" t="s">
        <v>147</v>
      </c>
    </row>
    <row r="21" spans="1:9" ht="20.399999999999999" customHeight="1" x14ac:dyDescent="0.35">
      <c r="A21" s="32" t="s">
        <v>148</v>
      </c>
      <c r="B21" s="32" t="s">
        <v>149</v>
      </c>
      <c r="C21" s="32" t="s">
        <v>85</v>
      </c>
      <c r="D21" s="36">
        <v>30492</v>
      </c>
      <c r="E21" s="32">
        <v>1</v>
      </c>
      <c r="F21" s="32" t="s">
        <v>95</v>
      </c>
      <c r="G21" s="32" t="s">
        <v>96</v>
      </c>
      <c r="H21" s="36">
        <v>44632</v>
      </c>
      <c r="I21" s="32" t="s">
        <v>150</v>
      </c>
    </row>
    <row r="25" spans="1:9" ht="20.399999999999999" customHeight="1" x14ac:dyDescent="0.35">
      <c r="A25" s="34" t="s">
        <v>76</v>
      </c>
      <c r="B25" s="34" t="s">
        <v>151</v>
      </c>
      <c r="C25" s="37" t="s">
        <v>77</v>
      </c>
      <c r="D25" s="38" t="s">
        <v>78</v>
      </c>
      <c r="E25" s="37" t="s">
        <v>79</v>
      </c>
      <c r="F25" s="37" t="s">
        <v>80</v>
      </c>
      <c r="G25" s="37" t="s">
        <v>81</v>
      </c>
      <c r="H25" s="38" t="s">
        <v>82</v>
      </c>
    </row>
    <row r="26" spans="1:9" ht="20.399999999999999" customHeight="1" x14ac:dyDescent="0.35">
      <c r="A26" s="32" t="s">
        <v>56</v>
      </c>
      <c r="B26" s="32" t="s">
        <v>152</v>
      </c>
      <c r="C26" s="32" t="str" cm="1">
        <f t="array" ref="C26:H26">_xlfn.XLOOKUP(RIGHT(B26,9),RIGHT($I$1:$I$21,9),$C$1:$H$21)</f>
        <v>Male</v>
      </c>
      <c r="D26" s="32">
        <v>28667</v>
      </c>
      <c r="E26" s="32">
        <v>1</v>
      </c>
      <c r="F26" s="32" t="str">
        <v>Rangpur Sadar</v>
      </c>
      <c r="G26" s="32" t="str">
        <v>Rangpur</v>
      </c>
      <c r="H26" s="32">
        <v>43958</v>
      </c>
    </row>
    <row r="27" spans="1:9" ht="20.399999999999999" customHeight="1" x14ac:dyDescent="0.35">
      <c r="A27" s="32" t="s">
        <v>57</v>
      </c>
      <c r="B27" s="32" t="s">
        <v>153</v>
      </c>
      <c r="C27" s="32" t="str" cm="1">
        <f t="array" ref="C27:H27">_xlfn.XLOOKUP(RIGHT(B27,9),RIGHT($I$1:$I$21,9),$C$1:$H$21)</f>
        <v>Male</v>
      </c>
      <c r="D27" s="32">
        <v>26842</v>
      </c>
      <c r="E27" s="32">
        <v>3</v>
      </c>
      <c r="F27" s="32" t="str">
        <v>Subidbazar</v>
      </c>
      <c r="G27" s="32" t="str">
        <v>Sylhet</v>
      </c>
      <c r="H27" s="32">
        <v>44037</v>
      </c>
    </row>
    <row r="28" spans="1:9" ht="20.399999999999999" customHeight="1" x14ac:dyDescent="0.35">
      <c r="A28" s="32" t="s">
        <v>58</v>
      </c>
      <c r="B28" s="32" t="s">
        <v>154</v>
      </c>
      <c r="C28" s="32" t="str" cm="1">
        <f t="array" ref="C28:H28">_xlfn.XLOOKUP(RIGHT(B28,9),RIGHT($I$1:$I$21,9),$C$1:$H$21)</f>
        <v>Female</v>
      </c>
      <c r="D28" s="32">
        <v>37427</v>
      </c>
      <c r="E28" s="32">
        <v>5</v>
      </c>
      <c r="F28" s="32" t="str">
        <v>Shah Makhdum</v>
      </c>
      <c r="G28" s="32" t="str">
        <v>Rajshahi</v>
      </c>
      <c r="H28" s="32">
        <v>44130</v>
      </c>
    </row>
    <row r="29" spans="1:9" ht="20.399999999999999" customHeight="1" x14ac:dyDescent="0.35">
      <c r="A29" s="32" t="s">
        <v>59</v>
      </c>
      <c r="B29" s="32" t="s">
        <v>155</v>
      </c>
      <c r="C29" s="32" t="str" cm="1">
        <f t="array" ref="C29:H29">_xlfn.XLOOKUP(RIGHT(B29,9),RIGHT($I$1:$I$21,9),$C$1:$H$21)</f>
        <v>Female</v>
      </c>
      <c r="D29" s="32">
        <v>31587</v>
      </c>
      <c r="E29" s="32">
        <v>4</v>
      </c>
      <c r="F29" s="32" t="str">
        <v>Kawran Bazar</v>
      </c>
      <c r="G29" s="32" t="str">
        <v>Barishal</v>
      </c>
      <c r="H29" s="32">
        <v>45259</v>
      </c>
    </row>
    <row r="30" spans="1:9" ht="20.399999999999999" customHeight="1" x14ac:dyDescent="0.35">
      <c r="A30" s="32" t="s">
        <v>60</v>
      </c>
      <c r="B30" s="32" t="s">
        <v>156</v>
      </c>
      <c r="C30" s="32" t="str" cm="1">
        <f t="array" ref="C30:H30">_xlfn.XLOOKUP(RIGHT(B30,9),RIGHT($I$1:$I$21,9),$C$1:$H$21)</f>
        <v>Male</v>
      </c>
      <c r="D30" s="32">
        <v>29762</v>
      </c>
      <c r="E30" s="32">
        <v>1</v>
      </c>
      <c r="F30" s="32" t="str">
        <v>Gollamari</v>
      </c>
      <c r="G30" s="32" t="str">
        <v>Khulna</v>
      </c>
      <c r="H30" s="32">
        <v>44279</v>
      </c>
    </row>
    <row r="31" spans="1:9" ht="20.399999999999999" customHeight="1" x14ac:dyDescent="0.35">
      <c r="A31" s="32" t="s">
        <v>61</v>
      </c>
      <c r="B31" s="32" t="s">
        <v>157</v>
      </c>
      <c r="C31" s="32" t="str" cm="1">
        <f t="array" ref="C31:H31">_xlfn.XLOOKUP(RIGHT(B31,9),RIGHT($I$1:$I$21,9),$C$1:$H$21)</f>
        <v>Male</v>
      </c>
      <c r="D31" s="32">
        <v>32317</v>
      </c>
      <c r="E31" s="32">
        <v>3</v>
      </c>
      <c r="F31" s="32" t="str">
        <v>Boalia</v>
      </c>
      <c r="G31" s="32" t="str">
        <v>Rajshahi</v>
      </c>
      <c r="H31" s="32">
        <v>43923</v>
      </c>
    </row>
    <row r="32" spans="1:9" ht="20.399999999999999" customHeight="1" x14ac:dyDescent="0.35">
      <c r="A32" s="32" t="s">
        <v>62</v>
      </c>
      <c r="B32" s="32" t="s">
        <v>158</v>
      </c>
      <c r="C32" s="32" t="str" cm="1">
        <f t="array" ref="C32:H32">_xlfn.XLOOKUP(RIGHT(B32,9),RIGHT($I$1:$I$21,9),$C$1:$H$21)</f>
        <v>Female</v>
      </c>
      <c r="D32" s="32">
        <v>25382</v>
      </c>
      <c r="E32" s="32">
        <v>5</v>
      </c>
      <c r="F32" s="32" t="str">
        <v>Gollamari</v>
      </c>
      <c r="G32" s="32" t="str">
        <v>Khulna</v>
      </c>
      <c r="H32" s="32">
        <v>45006</v>
      </c>
    </row>
    <row r="33" spans="1:8" ht="20.399999999999999" customHeight="1" x14ac:dyDescent="0.35">
      <c r="A33" s="32" t="s">
        <v>63</v>
      </c>
      <c r="B33" s="32" t="s">
        <v>159</v>
      </c>
      <c r="C33" s="32" t="str" cm="1">
        <f t="array" ref="C33:H33">_xlfn.XLOOKUP(RIGHT(B33,9),RIGHT($I$1:$I$21,9),$C$1:$H$21)</f>
        <v>Male</v>
      </c>
      <c r="D33" s="32">
        <v>25017</v>
      </c>
      <c r="E33" s="32">
        <v>3</v>
      </c>
      <c r="F33" s="32" t="str">
        <v>Dhanmondi</v>
      </c>
      <c r="G33" s="32" t="str">
        <v>Dhaka</v>
      </c>
      <c r="H33" s="32">
        <v>45129</v>
      </c>
    </row>
    <row r="34" spans="1:8" ht="20.399999999999999" customHeight="1" x14ac:dyDescent="0.35">
      <c r="A34" s="32" t="s">
        <v>64</v>
      </c>
      <c r="B34" s="32" t="s">
        <v>160</v>
      </c>
      <c r="C34" s="32" t="str" cm="1">
        <f t="array" ref="C34:H34">_xlfn.XLOOKUP(RIGHT(B34,9),RIGHT($I$1:$I$21,9),$C$1:$H$21)</f>
        <v>Female</v>
      </c>
      <c r="D34" s="32">
        <v>34872</v>
      </c>
      <c r="E34" s="32">
        <v>6</v>
      </c>
      <c r="F34" s="32" t="str">
        <v>Kawran Bazar</v>
      </c>
      <c r="G34" s="32" t="str">
        <v>Barishal</v>
      </c>
      <c r="H34" s="32">
        <v>44925</v>
      </c>
    </row>
    <row r="35" spans="1:8" ht="20.399999999999999" customHeight="1" x14ac:dyDescent="0.35">
      <c r="A35" s="32" t="s">
        <v>65</v>
      </c>
      <c r="B35" s="32" t="s">
        <v>161</v>
      </c>
      <c r="C35" s="32" t="str" cm="1">
        <f t="array" ref="C35:H35">_xlfn.XLOOKUP(RIGHT(B35,9),RIGHT($I$1:$I$21,9),$C$1:$H$21)</f>
        <v>Male</v>
      </c>
      <c r="D35" s="32">
        <v>26842</v>
      </c>
      <c r="E35" s="32">
        <v>1</v>
      </c>
      <c r="F35" s="32" t="str">
        <v>Muktagachha</v>
      </c>
      <c r="G35" s="32" t="str">
        <v>Mymensingh</v>
      </c>
      <c r="H35" s="32">
        <v>45064</v>
      </c>
    </row>
    <row r="36" spans="1:8" ht="20.399999999999999" customHeight="1" x14ac:dyDescent="0.35">
      <c r="A36" s="32" t="s">
        <v>66</v>
      </c>
      <c r="B36" s="32" t="s">
        <v>162</v>
      </c>
      <c r="C36" s="32" t="str" cm="1">
        <f t="array" ref="C36:H36">_xlfn.XLOOKUP(RIGHT(B36,9),RIGHT($I$1:$I$21,9),$C$1:$H$21)</f>
        <v>Male</v>
      </c>
      <c r="D36" s="32">
        <v>28667</v>
      </c>
      <c r="E36" s="32">
        <v>5</v>
      </c>
      <c r="F36" s="32" t="str">
        <v>Panchlaish</v>
      </c>
      <c r="G36" s="32" t="str">
        <v>Chattogram</v>
      </c>
      <c r="H36" s="32">
        <v>45224</v>
      </c>
    </row>
    <row r="37" spans="1:8" ht="20.399999999999999" customHeight="1" x14ac:dyDescent="0.35">
      <c r="A37" s="32" t="s">
        <v>67</v>
      </c>
      <c r="B37" s="32" t="s">
        <v>163</v>
      </c>
      <c r="C37" s="32" t="str" cm="1">
        <f t="array" ref="C37:H37">_xlfn.XLOOKUP(RIGHT(B37,9),RIGHT($I$1:$I$21,9),$C$1:$H$21)</f>
        <v>Female</v>
      </c>
      <c r="D37" s="32">
        <v>29397</v>
      </c>
      <c r="E37" s="32">
        <v>3</v>
      </c>
      <c r="F37" s="32" t="str">
        <v>Panchlaish</v>
      </c>
      <c r="G37" s="32" t="str">
        <v>Chattogram</v>
      </c>
      <c r="H37" s="32">
        <v>43982</v>
      </c>
    </row>
    <row r="38" spans="1:8" ht="20.399999999999999" customHeight="1" x14ac:dyDescent="0.35">
      <c r="A38" s="32" t="s">
        <v>68</v>
      </c>
      <c r="B38" s="32" t="s">
        <v>164</v>
      </c>
      <c r="C38" s="32" t="str" cm="1">
        <f t="array" ref="C38:H38">_xlfn.XLOOKUP(RIGHT(B38,9),RIGHT($I$1:$I$21,9),$C$1:$H$21)</f>
        <v>Male</v>
      </c>
      <c r="D38" s="32">
        <v>27572</v>
      </c>
      <c r="E38" s="32">
        <v>5</v>
      </c>
      <c r="F38" s="32" t="str">
        <v>Sonadanga</v>
      </c>
      <c r="G38" s="32" t="str">
        <v>Khulna</v>
      </c>
      <c r="H38" s="32">
        <v>43885</v>
      </c>
    </row>
    <row r="39" spans="1:8" ht="20.399999999999999" customHeight="1" x14ac:dyDescent="0.35">
      <c r="A39" s="32" t="s">
        <v>69</v>
      </c>
      <c r="B39" s="32" t="s">
        <v>165</v>
      </c>
      <c r="C39" s="32" t="str" cm="1">
        <f t="array" ref="C39:H39">_xlfn.XLOOKUP(RIGHT(B39,9),RIGHT($I$1:$I$21,9),$C$1:$H$21)</f>
        <v>Female</v>
      </c>
      <c r="D39" s="32">
        <v>33777</v>
      </c>
      <c r="E39" s="32">
        <v>2</v>
      </c>
      <c r="F39" s="32" t="str">
        <v>Gollamari</v>
      </c>
      <c r="G39" s="32" t="str">
        <v>Khulna</v>
      </c>
      <c r="H39" s="32">
        <v>44085</v>
      </c>
    </row>
    <row r="40" spans="1:8" ht="20.399999999999999" customHeight="1" x14ac:dyDescent="0.35">
      <c r="A40" s="32" t="s">
        <v>70</v>
      </c>
      <c r="B40" s="32" t="s">
        <v>166</v>
      </c>
      <c r="C40" s="32" t="str" cm="1">
        <f t="array" ref="C40:H40">_xlfn.XLOOKUP(RIGHT(B40,9),RIGHT($I$1:$I$21,9),$C$1:$H$21)</f>
        <v>Male</v>
      </c>
      <c r="D40" s="32">
        <v>38522</v>
      </c>
      <c r="E40" s="32">
        <v>5</v>
      </c>
      <c r="F40" s="32" t="str">
        <v>Dhanmondi</v>
      </c>
      <c r="G40" s="32" t="str">
        <v>Dhaka</v>
      </c>
      <c r="H40" s="32">
        <v>45131</v>
      </c>
    </row>
    <row r="41" spans="1:8" ht="20.399999999999999" customHeight="1" x14ac:dyDescent="0.35">
      <c r="A41" s="32" t="s">
        <v>71</v>
      </c>
      <c r="B41" s="32" t="s">
        <v>167</v>
      </c>
      <c r="C41" s="32" t="str" cm="1">
        <f t="array" ref="C41:H41">_xlfn.XLOOKUP(RIGHT(B41,9),RIGHT($I$1:$I$21,9),$C$1:$H$21)</f>
        <v>Female</v>
      </c>
      <c r="D41" s="32">
        <v>26842</v>
      </c>
      <c r="E41" s="32">
        <v>5</v>
      </c>
      <c r="F41" s="32" t="str">
        <v>Panchlaish</v>
      </c>
      <c r="G41" s="32" t="str">
        <v>Chattogram</v>
      </c>
      <c r="H41" s="32">
        <v>44217</v>
      </c>
    </row>
    <row r="42" spans="1:8" ht="20.399999999999999" customHeight="1" x14ac:dyDescent="0.35">
      <c r="A42" s="32" t="s">
        <v>137</v>
      </c>
      <c r="B42" s="32" t="s">
        <v>168</v>
      </c>
      <c r="C42" s="32" t="str" cm="1">
        <f t="array" ref="C42:H42">_xlfn.XLOOKUP(RIGHT(B42,9),RIGHT($I$1:$I$21,9),$C$1:$H$21)</f>
        <v>Male</v>
      </c>
      <c r="D42" s="32">
        <v>39617</v>
      </c>
      <c r="E42" s="32">
        <v>5</v>
      </c>
      <c r="F42" s="32" t="str">
        <v>Kaunia</v>
      </c>
      <c r="G42" s="32" t="str">
        <v>Rangpur</v>
      </c>
      <c r="H42" s="32">
        <v>45072</v>
      </c>
    </row>
    <row r="43" spans="1:8" ht="20.399999999999999" customHeight="1" x14ac:dyDescent="0.35">
      <c r="A43" s="32" t="s">
        <v>141</v>
      </c>
      <c r="B43" s="32" t="s">
        <v>169</v>
      </c>
      <c r="C43" s="32" t="str" cm="1">
        <f t="array" ref="C43:H43">_xlfn.XLOOKUP(RIGHT(B43,9),RIGHT($I$1:$I$21,9),$C$1:$H$21)</f>
        <v>Male</v>
      </c>
      <c r="D43" s="32">
        <v>37792</v>
      </c>
      <c r="E43" s="32">
        <v>3</v>
      </c>
      <c r="F43" s="32" t="str">
        <v>Bakerganj</v>
      </c>
      <c r="G43" s="32" t="str">
        <v>Barishal</v>
      </c>
      <c r="H43" s="32">
        <v>45010</v>
      </c>
    </row>
    <row r="44" spans="1:8" ht="20.399999999999999" customHeight="1" x14ac:dyDescent="0.35">
      <c r="A44" s="32" t="s">
        <v>145</v>
      </c>
      <c r="B44" s="32" t="s">
        <v>170</v>
      </c>
      <c r="C44" s="32" t="str" cm="1">
        <f t="array" ref="C44:H44">_xlfn.XLOOKUP(RIGHT(B44,9),RIGHT($I$1:$I$21,9),$C$1:$H$21)</f>
        <v>Male</v>
      </c>
      <c r="D44" s="32">
        <v>22827</v>
      </c>
      <c r="E44" s="32">
        <v>4</v>
      </c>
      <c r="F44" s="32" t="str">
        <v>Godagari</v>
      </c>
      <c r="G44" s="32" t="str">
        <v>Rajshahi</v>
      </c>
      <c r="H44" s="32">
        <v>44076</v>
      </c>
    </row>
    <row r="45" spans="1:8" ht="20.399999999999999" customHeight="1" x14ac:dyDescent="0.35">
      <c r="A45" s="32" t="s">
        <v>149</v>
      </c>
      <c r="B45" s="32" t="s">
        <v>171</v>
      </c>
      <c r="C45" s="32" t="str" cm="1">
        <f t="array" ref="C45:H45">_xlfn.XLOOKUP(RIGHT(B45,9),RIGHT($I$1:$I$21,9),$C$1:$H$21)</f>
        <v>Female</v>
      </c>
      <c r="D45" s="32">
        <v>30492</v>
      </c>
      <c r="E45" s="32">
        <v>1</v>
      </c>
      <c r="F45" s="32" t="str">
        <v>Shah Makhdum</v>
      </c>
      <c r="G45" s="32" t="str">
        <v>Rajshahi</v>
      </c>
      <c r="H45" s="32">
        <v>44632</v>
      </c>
    </row>
  </sheetData>
  <pageMargins left="0.7" right="0.7" top="0.75" bottom="0.75" header="0.3" footer="0.3"/>
  <ignoredErrors>
    <ignoredError sqref="I2:I21 B26:B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Xlookup Basic</vt:lpstr>
      <vt:lpstr>Xlookup All Data</vt:lpstr>
      <vt:lpstr>Xlookup Multiple Record Match</vt:lpstr>
      <vt:lpstr>Xlookup + Transpose</vt:lpstr>
      <vt:lpstr>Xlookup with CHOOSE</vt:lpstr>
      <vt:lpstr>Xlookup  with CHOOSECOLS</vt:lpstr>
      <vt:lpstr>Two Way Xlookup</vt:lpstr>
      <vt:lpstr>Nested Xlookup</vt:lpstr>
      <vt:lpstr>Xlookup + Trim</vt:lpstr>
      <vt:lpstr>Real Problem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nehra</dc:creator>
  <cp:lastModifiedBy>Office</cp:lastModifiedBy>
  <dcterms:created xsi:type="dcterms:W3CDTF">2025-09-03T15:49:22Z</dcterms:created>
  <dcterms:modified xsi:type="dcterms:W3CDTF">2026-06-21T08:59:49Z</dcterms:modified>
</cp:coreProperties>
</file>