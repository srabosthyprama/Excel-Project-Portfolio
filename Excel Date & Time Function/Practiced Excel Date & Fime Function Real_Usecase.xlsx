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 Related Files\Portfolio\Excel\Excel DF Real Use Case\Practied DF Real Case\"/>
    </mc:Choice>
  </mc:AlternateContent>
  <xr:revisionPtr revIDLastSave="0" documentId="13_ncr:1_{97C1A5EF-55E1-4880-97C5-8067A1C7949B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Req Index" sheetId="1" r:id="rId1"/>
    <sheet name="01_HR_Attendance" sheetId="2" r:id="rId2"/>
    <sheet name="02_Age_KYC" sheetId="3" r:id="rId3"/>
    <sheet name="03_Service_Length" sheetId="4" r:id="rId4"/>
    <sheet name="04_Invoice_Aging" sheetId="5" r:id="rId5"/>
    <sheet name="05_Payment_Status" sheetId="6" r:id="rId6"/>
    <sheet name="07_Probation_End" sheetId="8" r:id="rId7"/>
    <sheet name="08_Delivery_SLA" sheetId="9" r:id="rId8"/>
    <sheet name="09_Day_Name_Sales" sheetId="10" r:id="rId9"/>
    <sheet name="10_Monthly_Helper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1" l="1"/>
  <c r="H5" i="11"/>
  <c r="H6" i="11"/>
  <c r="H7" i="11"/>
  <c r="H8" i="11"/>
  <c r="H9" i="11"/>
  <c r="H10" i="11"/>
  <c r="H11" i="11"/>
  <c r="G4" i="11"/>
  <c r="G5" i="11"/>
  <c r="G6" i="11"/>
  <c r="G7" i="11"/>
  <c r="G8" i="11"/>
  <c r="G9" i="11"/>
  <c r="G10" i="11"/>
  <c r="G11" i="11"/>
  <c r="H4" i="10"/>
  <c r="H5" i="10"/>
  <c r="H6" i="10"/>
  <c r="H7" i="10"/>
  <c r="H8" i="10"/>
  <c r="H9" i="10"/>
  <c r="H10" i="10"/>
  <c r="H11" i="10"/>
  <c r="G4" i="10"/>
  <c r="G5" i="10"/>
  <c r="G6" i="10"/>
  <c r="G7" i="10"/>
  <c r="G8" i="10"/>
  <c r="G9" i="10"/>
  <c r="G10" i="10"/>
  <c r="G11" i="10"/>
  <c r="G4" i="8"/>
  <c r="G5" i="8"/>
  <c r="G6" i="8"/>
  <c r="G7" i="8"/>
  <c r="G8" i="8"/>
  <c r="G9" i="8"/>
  <c r="G10" i="8"/>
  <c r="G11" i="8"/>
  <c r="G4" i="6"/>
  <c r="G5" i="6"/>
  <c r="G6" i="6"/>
  <c r="G7" i="6"/>
  <c r="G8" i="6"/>
  <c r="G9" i="6"/>
  <c r="G10" i="6"/>
  <c r="G11" i="6"/>
  <c r="G4" i="5"/>
  <c r="G5" i="5"/>
  <c r="G6" i="5"/>
  <c r="G7" i="5"/>
  <c r="G8" i="5"/>
  <c r="G9" i="5"/>
  <c r="G10" i="5"/>
  <c r="G11" i="5"/>
  <c r="F4" i="4"/>
  <c r="F5" i="4"/>
  <c r="F6" i="4"/>
  <c r="F7" i="4"/>
  <c r="F8" i="4"/>
  <c r="F9" i="4"/>
  <c r="F10" i="4"/>
  <c r="F11" i="4"/>
  <c r="F4" i="3"/>
  <c r="F5" i="3"/>
  <c r="F6" i="3"/>
  <c r="F7" i="3"/>
  <c r="F8" i="3"/>
  <c r="F9" i="3"/>
  <c r="F10" i="3"/>
  <c r="F11" i="3"/>
  <c r="H4" i="2"/>
  <c r="H5" i="2"/>
  <c r="H6" i="2"/>
  <c r="H7" i="2"/>
  <c r="H8" i="2"/>
  <c r="H9" i="2"/>
  <c r="H10" i="2"/>
  <c r="H11" i="2"/>
  <c r="G4" i="2"/>
  <c r="G5" i="2"/>
  <c r="G6" i="2"/>
  <c r="G7" i="2"/>
  <c r="G8" i="2"/>
  <c r="G9" i="2"/>
  <c r="G10" i="2"/>
  <c r="G11" i="2"/>
</calcChain>
</file>

<file path=xl/sharedStrings.xml><?xml version="1.0" encoding="utf-8"?>
<sst xmlns="http://schemas.openxmlformats.org/spreadsheetml/2006/main" count="397" uniqueCount="318">
  <si>
    <t>Sheet</t>
  </si>
  <si>
    <t>Real Business Context</t>
  </si>
  <si>
    <t>Practice Requirement</t>
  </si>
  <si>
    <t>Office attendance tracking for Dhaka/Gazipur/Narayanganj branches</t>
  </si>
  <si>
    <t>Find Late/On Time and Late Minutes from shift start vs in-time.</t>
  </si>
  <si>
    <t>Bank/HR/customer KYC age validation</t>
  </si>
  <si>
    <t>Calculate age from DOB using TODAY().</t>
  </si>
  <si>
    <t>Employee tenure and increment eligibility</t>
  </si>
  <si>
    <t>Calculate service length in years and months.</t>
  </si>
  <si>
    <t>Accounts receivable collection follow-up</t>
  </si>
  <si>
    <t>Calculate how many days each invoice is unpaid.</t>
  </si>
  <si>
    <t>Credit control and overdue payment tracking</t>
  </si>
  <si>
    <t>Check whether payment due date is overdue or still within due date.</t>
  </si>
  <si>
    <t>Accounting month-end closing</t>
  </si>
  <si>
    <t>Find month-end date and accounting period for each transaction.</t>
  </si>
  <si>
    <t>HR confirmation planning</t>
  </si>
  <si>
    <t>Calculate probation end date from joining date and probation months.</t>
  </si>
  <si>
    <t>E-commerce/courier delivery deadline</t>
  </si>
  <si>
    <t>Calculate deadline using working days and Bangladesh weekend pattern.</t>
  </si>
  <si>
    <t>Retail store weekday/weekend sales analysis</t>
  </si>
  <si>
    <t>Find day name and identify weekend days.</t>
  </si>
  <si>
    <t>Sales dashboard helper columns</t>
  </si>
  <si>
    <t>Create month-end helper and month-year label for monthly trend analysis.</t>
  </si>
  <si>
    <t>Use Case 01: HR Attendance — Late or On Time</t>
  </si>
  <si>
    <t>Req: Office starts at 9:30 AM. Students must identify who is Late/On Time and calculate late minutes. Real fields are Employee, Department, Branch, Shift Start, In Time — no unnecessary geography columns.</t>
  </si>
  <si>
    <t>Emp ID</t>
  </si>
  <si>
    <t>Employee Name</t>
  </si>
  <si>
    <t>Department</t>
  </si>
  <si>
    <t>Branch / Work Location</t>
  </si>
  <si>
    <t>Shift Start</t>
  </si>
  <si>
    <t>In Time</t>
  </si>
  <si>
    <t>Status</t>
  </si>
  <si>
    <t>Late Minutes</t>
  </si>
  <si>
    <t>GSA-001</t>
  </si>
  <si>
    <t>Rahim Uddin</t>
  </si>
  <si>
    <t>Sales</t>
  </si>
  <si>
    <t>Uttara Branch</t>
  </si>
  <si>
    <t>GSA-002</t>
  </si>
  <si>
    <t>Nusrat Jahan</t>
  </si>
  <si>
    <t>Accounts</t>
  </si>
  <si>
    <t>Motijheel Branch</t>
  </si>
  <si>
    <t>GSA-003</t>
  </si>
  <si>
    <t>Sabbir Ahmed</t>
  </si>
  <si>
    <t>Warehouse</t>
  </si>
  <si>
    <t>Gazipur DC</t>
  </si>
  <si>
    <t>GSA-004</t>
  </si>
  <si>
    <t>Farhana Islam</t>
  </si>
  <si>
    <t>Customer Support</t>
  </si>
  <si>
    <t>Banani Office</t>
  </si>
  <si>
    <t>GSA-005</t>
  </si>
  <si>
    <t>Imran Hossain</t>
  </si>
  <si>
    <t>Delivery Ops</t>
  </si>
  <si>
    <t>Narayanganj Hub</t>
  </si>
  <si>
    <t>GSA-006</t>
  </si>
  <si>
    <t>Mim Akter</t>
  </si>
  <si>
    <t>HR</t>
  </si>
  <si>
    <t>Dhanmondi Office</t>
  </si>
  <si>
    <t>GSA-007</t>
  </si>
  <si>
    <t>Rakib Hasan</t>
  </si>
  <si>
    <t>Mirpur Branch</t>
  </si>
  <si>
    <t>GSA-008</t>
  </si>
  <si>
    <t>Jannatul Ferdous</t>
  </si>
  <si>
    <t>Training</t>
  </si>
  <si>
    <t>Online Team</t>
  </si>
  <si>
    <t>Use Case 02: Age Calculation — HR/KYC Validation</t>
  </si>
  <si>
    <t>Req: Calculate current age from Date of Birth. Use this for HR recruitment, bank KYC, student admission, insurance customer profile. Keep location only as Home District because full Division/Thana is not necessary here.</t>
  </si>
  <si>
    <t>Record ID</t>
  </si>
  <si>
    <t>Person Name</t>
  </si>
  <si>
    <t>Profile Type</t>
  </si>
  <si>
    <t>Date of Birth</t>
  </si>
  <si>
    <t>Home District</t>
  </si>
  <si>
    <t>Age</t>
  </si>
  <si>
    <t>KYC-1001</t>
  </si>
  <si>
    <t>Md Shakil Rana</t>
  </si>
  <si>
    <t>Retail Banking Customer</t>
  </si>
  <si>
    <t>Dhaka</t>
  </si>
  <si>
    <t>KYC-1002</t>
  </si>
  <si>
    <t>Ayesha Siddika</t>
  </si>
  <si>
    <t>Job Applicant</t>
  </si>
  <si>
    <t>Chattogram</t>
  </si>
  <si>
    <t>KYC-1003</t>
  </si>
  <si>
    <t>Tanvir Hasan</t>
  </si>
  <si>
    <t>Loan Guarantor</t>
  </si>
  <si>
    <t>Sylhet</t>
  </si>
  <si>
    <t>KYC-1004</t>
  </si>
  <si>
    <t>Rumana Akter</t>
  </si>
  <si>
    <t>Insurance Customer</t>
  </si>
  <si>
    <t>Khulna</t>
  </si>
  <si>
    <t>KYC-1005</t>
  </si>
  <si>
    <t>Nabil Chowdhury</t>
  </si>
  <si>
    <t>Intern Candidate</t>
  </si>
  <si>
    <t>Rajshahi</t>
  </si>
  <si>
    <t>KYC-1006</t>
  </si>
  <si>
    <t>Mst. Mim Akter</t>
  </si>
  <si>
    <t>Student Applicant</t>
  </si>
  <si>
    <t>Barishal</t>
  </si>
  <si>
    <t>KYC-1007</t>
  </si>
  <si>
    <t>Arif Hossain</t>
  </si>
  <si>
    <t>Supplier Owner</t>
  </si>
  <si>
    <t>Rangpur</t>
  </si>
  <si>
    <t>KYC-1008</t>
  </si>
  <si>
    <t>Sadia Rahman</t>
  </si>
  <si>
    <t>Training Learner</t>
  </si>
  <si>
    <t>Mymensingh</t>
  </si>
  <si>
    <t>Use Case 03: Employee Service Length / Tenure</t>
  </si>
  <si>
    <t>Req: Calculate each employee’s service length in Years and Months from Joining Date. This is useful for increment, promotion, gratuity/benefit eligibility, and HR dashboard.</t>
  </si>
  <si>
    <t>Designation</t>
  </si>
  <si>
    <t>Joining Date</t>
  </si>
  <si>
    <t>Service Length</t>
  </si>
  <si>
    <t>EMP-2101</t>
  </si>
  <si>
    <t>Hasan Mahmud</t>
  </si>
  <si>
    <t>Finance Executive</t>
  </si>
  <si>
    <t>Finance</t>
  </si>
  <si>
    <t>EMP-2102</t>
  </si>
  <si>
    <t>Sumaiya Akter</t>
  </si>
  <si>
    <t>Data Analyst</t>
  </si>
  <si>
    <t>Analytics</t>
  </si>
  <si>
    <t>EMP-2103</t>
  </si>
  <si>
    <t>Tariqul Islam</t>
  </si>
  <si>
    <t>Branch Manager</t>
  </si>
  <si>
    <t>Retail</t>
  </si>
  <si>
    <t>EMP-2104</t>
  </si>
  <si>
    <t>Nadia Sultana</t>
  </si>
  <si>
    <t>HR Officer</t>
  </si>
  <si>
    <t>EMP-2105</t>
  </si>
  <si>
    <t>Sajib Khan</t>
  </si>
  <si>
    <t>Operations Lead</t>
  </si>
  <si>
    <t>Operations</t>
  </si>
  <si>
    <t>EMP-2106</t>
  </si>
  <si>
    <t>Fahim Rahman</t>
  </si>
  <si>
    <t>BI Developer</t>
  </si>
  <si>
    <t>EMP-2107</t>
  </si>
  <si>
    <t>Sharmin Jahan</t>
  </si>
  <si>
    <t>Training Coordinator</t>
  </si>
  <si>
    <t>EMP-2108</t>
  </si>
  <si>
    <t>Rafi Ahmed</t>
  </si>
  <si>
    <t>Sales Officer</t>
  </si>
  <si>
    <t>Use Case 04: Invoice Aging — Accounts Receivable</t>
  </si>
  <si>
    <t>Req: Calculate how many days each invoice has been outstanding from Invoice Date. This is a realistic collection follow-up dataset: customer, channel, sales territory, invoice date, and invoice amount.</t>
  </si>
  <si>
    <t>Invoice No</t>
  </si>
  <si>
    <t>Customer Name</t>
  </si>
  <si>
    <t>Channel</t>
  </si>
  <si>
    <t>Sales Territory</t>
  </si>
  <si>
    <t>Invoice Date</t>
  </si>
  <si>
    <t>Invoice Amount</t>
  </si>
  <si>
    <t>Aging Days</t>
  </si>
  <si>
    <t>INV-26001</t>
  </si>
  <si>
    <t>Rahim Store</t>
  </si>
  <si>
    <t>Retail Dealer</t>
  </si>
  <si>
    <t>Dhaka North</t>
  </si>
  <si>
    <t>INV-26002</t>
  </si>
  <si>
    <t>Karim Traders</t>
  </si>
  <si>
    <t>Wholesale</t>
  </si>
  <si>
    <t>Chattogram City</t>
  </si>
  <si>
    <t>INV-26003</t>
  </si>
  <si>
    <t>Mymensingh Mart</t>
  </si>
  <si>
    <t>Mymensingh Sadar</t>
  </si>
  <si>
    <t>INV-26004</t>
  </si>
  <si>
    <t>Sylhet Super Shop</t>
  </si>
  <si>
    <t>Modern Trade</t>
  </si>
  <si>
    <t>Sylhet City</t>
  </si>
  <si>
    <t>INV-26005</t>
  </si>
  <si>
    <t>Barishal Enterprise</t>
  </si>
  <si>
    <t>Barishal Sadar</t>
  </si>
  <si>
    <t>INV-26006</t>
  </si>
  <si>
    <t>Gazipur Fashion</t>
  </si>
  <si>
    <t>Gazipur Chowrasta</t>
  </si>
  <si>
    <t>INV-26007</t>
  </si>
  <si>
    <t>Bogura Bazar</t>
  </si>
  <si>
    <t>Bogura Sadar</t>
  </si>
  <si>
    <t>INV-26008</t>
  </si>
  <si>
    <t>Narayanganj Outlet</t>
  </si>
  <si>
    <t>Narayanganj City</t>
  </si>
  <si>
    <t>Use Case 05: Payment Status — Credit Control</t>
  </si>
  <si>
    <t>Req: Check whether each invoice is Overdue or Within Due Date. Real fields: invoice, customer, territory, due date, due amount, collection owner. No irrelevant Division/Thana columns.</t>
  </si>
  <si>
    <t>Due Date</t>
  </si>
  <si>
    <t>Due Amount</t>
  </si>
  <si>
    <t>Collection Officer</t>
  </si>
  <si>
    <t>Payment Status</t>
  </si>
  <si>
    <t>Mehedi Hasan</t>
  </si>
  <si>
    <t>Rezaul Karim</t>
  </si>
  <si>
    <t>Jahid Hossain</t>
  </si>
  <si>
    <t>Tania Islam</t>
  </si>
  <si>
    <t>Power BI Workshop</t>
  </si>
  <si>
    <t>Use Case 07: Probation End Date — HR Confirmation</t>
  </si>
  <si>
    <t>Req: Calculate probation end date using Joining Date + Probation Months. This sheet is realistic for HR confirmation planning; Department matters more than full geographic details.</t>
  </si>
  <si>
    <t>Probation Months</t>
  </si>
  <si>
    <t>Probation End Date</t>
  </si>
  <si>
    <t>EMP-3001</t>
  </si>
  <si>
    <t>Mushfiq Rahman</t>
  </si>
  <si>
    <t>Junior Data Analyst</t>
  </si>
  <si>
    <t>EMP-3002</t>
  </si>
  <si>
    <t>Afia Tabassum</t>
  </si>
  <si>
    <t>Sales Executive</t>
  </si>
  <si>
    <t>EMP-3003</t>
  </si>
  <si>
    <t>Nayeem Hasan</t>
  </si>
  <si>
    <t>Support Executive</t>
  </si>
  <si>
    <t>EMP-3004</t>
  </si>
  <si>
    <t>Mahira Jahan</t>
  </si>
  <si>
    <t>HR Intern</t>
  </si>
  <si>
    <t>EMP-3005</t>
  </si>
  <si>
    <t>Shuvo Das</t>
  </si>
  <si>
    <t>Accounts Assistant</t>
  </si>
  <si>
    <t>EMP-3006</t>
  </si>
  <si>
    <t>Lamisa Islam</t>
  </si>
  <si>
    <t>Power BI Trainer</t>
  </si>
  <si>
    <t>EMP-3007</t>
  </si>
  <si>
    <t>Rasel Ahmed</t>
  </si>
  <si>
    <t>Delivery Supervisor</t>
  </si>
  <si>
    <t>EMP-3008</t>
  </si>
  <si>
    <t>Sadia Nusrat</t>
  </si>
  <si>
    <t>Content Executive</t>
  </si>
  <si>
    <t>Marketing</t>
  </si>
  <si>
    <t>Use Case 08: Delivery SLA — Working Day Deadline</t>
  </si>
  <si>
    <t>Req: Calculate delivery deadline based on Order Date + SLA working days. Here District/Upazila makes sense because delivery route and SLA depend on location. Weekend code 0000011 means Friday &amp; Saturday are weekend.</t>
  </si>
  <si>
    <t>Order ID</t>
  </si>
  <si>
    <t>District/City</t>
  </si>
  <si>
    <t>Upazila/Area</t>
  </si>
  <si>
    <t>Order Date</t>
  </si>
  <si>
    <t>SLA Working Days</t>
  </si>
  <si>
    <t>Weekend Code</t>
  </si>
  <si>
    <t>Delivery Deadline</t>
  </si>
  <si>
    <t>ORD-5001</t>
  </si>
  <si>
    <t>Sadia Fashion</t>
  </si>
  <si>
    <t>Mirpur</t>
  </si>
  <si>
    <t>0000011</t>
  </si>
  <si>
    <t>ORD-5002</t>
  </si>
  <si>
    <t>Karim Electronics</t>
  </si>
  <si>
    <t>Panchlaish</t>
  </si>
  <si>
    <t>ORD-5003</t>
  </si>
  <si>
    <t>Rangpur Agro</t>
  </si>
  <si>
    <t>Mithapukur</t>
  </si>
  <si>
    <t>ORD-5004</t>
  </si>
  <si>
    <t>Sylhet Tea Corner</t>
  </si>
  <si>
    <t>Beanibazar</t>
  </si>
  <si>
    <t>ORD-5005</t>
  </si>
  <si>
    <t>Khulna Mart</t>
  </si>
  <si>
    <t>Sonadanga</t>
  </si>
  <si>
    <t>ORD-5006</t>
  </si>
  <si>
    <t>Narayanganj Retail</t>
  </si>
  <si>
    <t>Narayanganj</t>
  </si>
  <si>
    <t>Fatullah</t>
  </si>
  <si>
    <t>ORD-5007</t>
  </si>
  <si>
    <t>Cumilla Store</t>
  </si>
  <si>
    <t>Cumilla</t>
  </si>
  <si>
    <t>Laksam</t>
  </si>
  <si>
    <t>ORD-5008</t>
  </si>
  <si>
    <t>Bogura</t>
  </si>
  <si>
    <t>Sherpur</t>
  </si>
  <si>
    <t>Use Case 09: Day Name — Retail Sales Pattern</t>
  </si>
  <si>
    <t>Req: Extract day name from sales date and identify weekend. This is useful for understanding weekday/weekend sales pattern, store manpower planning, and campaign timing.</t>
  </si>
  <si>
    <t>Sales ID</t>
  </si>
  <si>
    <t>Sales Date</t>
  </si>
  <si>
    <t>Outlet Name</t>
  </si>
  <si>
    <t>Category</t>
  </si>
  <si>
    <t>Sales Amount</t>
  </si>
  <si>
    <t>Footfall</t>
  </si>
  <si>
    <t>Day Name</t>
  </si>
  <si>
    <t>Day Type</t>
  </si>
  <si>
    <t>SLS-7001</t>
  </si>
  <si>
    <t>Bashundhara City Outlet</t>
  </si>
  <si>
    <t>Footwear</t>
  </si>
  <si>
    <t>SLS-7002</t>
  </si>
  <si>
    <t>Jamuna Future Park</t>
  </si>
  <si>
    <t>Apparel</t>
  </si>
  <si>
    <t>SLS-7003</t>
  </si>
  <si>
    <t>Chattogram GEC Outlet</t>
  </si>
  <si>
    <t>Electronics</t>
  </si>
  <si>
    <t>SLS-7004</t>
  </si>
  <si>
    <t>Sylhet Zindabazar Outlet</t>
  </si>
  <si>
    <t>Grocery</t>
  </si>
  <si>
    <t>SLS-7005</t>
  </si>
  <si>
    <t>Khulna New Market</t>
  </si>
  <si>
    <t>SLS-7006</t>
  </si>
  <si>
    <t>Rajshahi Shaheb Bazar</t>
  </si>
  <si>
    <t>SLS-7007</t>
  </si>
  <si>
    <t>Rangpur City Bazar</t>
  </si>
  <si>
    <t>SLS-7008</t>
  </si>
  <si>
    <t>Mymensingh Town Hall</t>
  </si>
  <si>
    <t>Use Case 10: Monthly Dashboard Helper Columns</t>
  </si>
  <si>
    <t>Req: Create Month End Date and Month-Year helper from sales date. Mentor note: Month End Date is better for Pivot sorting; Month-Year text is only for clean display.</t>
  </si>
  <si>
    <t>Sales Order</t>
  </si>
  <si>
    <t>Lead Source</t>
  </si>
  <si>
    <t>Product/Course</t>
  </si>
  <si>
    <t>Qty</t>
  </si>
  <si>
    <t>Revenue</t>
  </si>
  <si>
    <t>Month End Helper</t>
  </si>
  <si>
    <t>Month-Year Display</t>
  </si>
  <si>
    <t>SO-1001</t>
  </si>
  <si>
    <t>Online</t>
  </si>
  <si>
    <t>Excel Course</t>
  </si>
  <si>
    <t>SO-1002</t>
  </si>
  <si>
    <t>Facebook Lead</t>
  </si>
  <si>
    <t>SO-1003</t>
  </si>
  <si>
    <t>Corporate</t>
  </si>
  <si>
    <t>Dashboard Training</t>
  </si>
  <si>
    <t>SO-1004</t>
  </si>
  <si>
    <t>Referral</t>
  </si>
  <si>
    <t>Data Analytics Course</t>
  </si>
  <si>
    <t>SO-1005</t>
  </si>
  <si>
    <t>SQL Bootcamp</t>
  </si>
  <si>
    <t>SO-1006</t>
  </si>
  <si>
    <t>Python for Data</t>
  </si>
  <si>
    <t>SO-1007</t>
  </si>
  <si>
    <t>Excel Automation</t>
  </si>
  <si>
    <t>SO-1008</t>
  </si>
  <si>
    <t>BI Career Program</t>
  </si>
  <si>
    <t>Excel Date &amp; Time Functions - Corrected Real-Flavour Practice Workbook</t>
  </si>
  <si>
    <t>01 HR Attendance</t>
  </si>
  <si>
    <t>02 Age KYC</t>
  </si>
  <si>
    <t>03 Service Length</t>
  </si>
  <si>
    <t>04 Invoice Aging</t>
  </si>
  <si>
    <t>05 Payment Status</t>
  </si>
  <si>
    <t>06 Month End</t>
  </si>
  <si>
    <t>07 Probation End</t>
  </si>
  <si>
    <t>08 Delivery SLA</t>
  </si>
  <si>
    <t>09 Day Name Sales</t>
  </si>
  <si>
    <t>10 Monthly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</si>
</sst>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B1F3A"/>
      <name val="Carlito"/>
    </font>
    <font>
      <sz val="8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1"/>
      <color theme="0"/>
      <name val="Carlito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3" borderId="0" xfId="0" applyFont="1" applyFill="1" applyAlignment="1">
      <alignment vertical="top" wrapText="1"/>
    </xf>
    <xf numFmtId="0" fontId="0" fillId="3" borderId="0" xfId="0" applyFill="1"/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18" fontId="0" fillId="0" borderId="0" xfId="0" applyNumberFormat="1" applyAlignment="1">
      <alignment horizontal="left"/>
    </xf>
    <xf numFmtId="0" fontId="5" fillId="4" borderId="0" xfId="0" applyFont="1" applyFill="1" applyAlignment="1">
      <alignment horizontal="left"/>
    </xf>
    <xf numFmtId="1" fontId="5" fillId="4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 wrapText="1"/>
    </xf>
    <xf numFmtId="1" fontId="0" fillId="4" borderId="0" xfId="0" applyNumberFormat="1" applyFill="1"/>
    <xf numFmtId="0" fontId="0" fillId="0" borderId="0" xfId="0" applyFont="1"/>
    <xf numFmtId="164" fontId="0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0" fillId="4" borderId="0" xfId="0" applyFont="1" applyFill="1"/>
    <xf numFmtId="0" fontId="0" fillId="3" borderId="0" xfId="0" applyFont="1" applyFill="1"/>
    <xf numFmtId="3" fontId="0" fillId="0" borderId="0" xfId="0" applyNumberFormat="1" applyFont="1"/>
    <xf numFmtId="1" fontId="0" fillId="0" borderId="0" xfId="0" applyNumberFormat="1" applyFont="1"/>
    <xf numFmtId="1" fontId="0" fillId="4" borderId="0" xfId="0" applyNumberFormat="1" applyFont="1" applyFill="1"/>
    <xf numFmtId="0" fontId="0" fillId="0" borderId="0" xfId="0" applyBorder="1"/>
    <xf numFmtId="164" fontId="0" fillId="4" borderId="0" xfId="0" applyNumberFormat="1" applyFont="1" applyFill="1"/>
    <xf numFmtId="0" fontId="6" fillId="3" borderId="0" xfId="0" applyFont="1" applyFill="1" applyAlignment="1">
      <alignment vertical="top" wrapText="1"/>
    </xf>
    <xf numFmtId="0" fontId="5" fillId="3" borderId="0" xfId="0" applyFont="1" applyFill="1"/>
  </cellXfs>
  <cellStyles count="1">
    <cellStyle name="Normal" xfId="0" builtinId="0"/>
  </cellStyles>
  <dxfs count="86">
    <dxf>
      <font>
        <strike val="0"/>
        <outline val="0"/>
        <shadow val="0"/>
        <u val="none"/>
        <vertAlign val="baseline"/>
        <sz val="11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  <numFmt numFmtId="164" formatCode="dd\-mmm\-yyyy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numFmt numFmtId="164" formatCode="dd\-mmm\-yyyy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numFmt numFmtId="1" formatCode="0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Carlito"/>
        <scheme val="none"/>
      </font>
    </dxf>
    <dxf>
      <numFmt numFmtId="1" formatCode="0"/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indexed="64"/>
          <bgColor theme="3" tint="0.74999237037263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solid">
          <fgColor indexed="64"/>
          <bgColor theme="3" tint="0.749992370372631"/>
        </patternFill>
      </fill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ill>
        <patternFill patternType="solid">
          <fgColor indexed="64"/>
          <bgColor theme="4"/>
        </patternFill>
      </fill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Table" displayName="IndexTable" ref="A3:C13" headerRowDxfId="85">
  <tableColumns count="3">
    <tableColumn id="1" xr3:uid="{00000000-0010-0000-0000-000001000000}" name="Sheet"/>
    <tableColumn id="2" xr3:uid="{00000000-0010-0000-0000-000002000000}" name="Real Business Context"/>
    <tableColumn id="3" xr3:uid="{00000000-0010-0000-0000-000003000000}" name="Practice Requirem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RAttendanceTable" displayName="HRAttendanceTable" ref="A3:H11" headerRowDxfId="79" dataDxfId="77" totalsRowDxfId="78">
  <tableColumns count="8">
    <tableColumn id="1" xr3:uid="{00000000-0010-0000-0100-000001000000}" name="Emp ID" dataDxfId="84"/>
    <tableColumn id="2" xr3:uid="{00000000-0010-0000-0100-000002000000}" name="Employee Name" dataDxfId="83"/>
    <tableColumn id="3" xr3:uid="{00000000-0010-0000-0100-000003000000}" name="Department" dataDxfId="82"/>
    <tableColumn id="4" xr3:uid="{00000000-0010-0000-0100-000004000000}" name="Branch / Work Location" dataDxfId="81"/>
    <tableColumn id="5" xr3:uid="{00000000-0010-0000-0100-000005000000}" name="Shift Start" dataDxfId="80"/>
    <tableColumn id="6" xr3:uid="{00000000-0010-0000-0100-000006000000}" name="In Time" dataDxfId="76"/>
    <tableColumn id="7" xr3:uid="{00000000-0010-0000-0100-000007000000}" name="Status" dataDxfId="75">
      <calculatedColumnFormula>IF(HRAttendanceTable[[#This Row],[In Time]]&gt;HRAttendanceTable[[#This Row],[Shift Start]],"Late","On Time")</calculatedColumnFormula>
    </tableColumn>
    <tableColumn id="8" xr3:uid="{00000000-0010-0000-0100-000008000000}" name="Late Minutes" dataDxfId="74">
      <calculatedColumnFormula>IF(HRAttendanceTable[[#This Row],[In Time]]&gt;HRAttendanceTable[[#This Row],[Shift Start]],(HRAttendanceTable[[#This Row],[In Time]]-HRAttendanceTable[[#This Row],[Shift Start]])*1440,0)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geKYCTable" displayName="AgeKYCTable" ref="A3:F11" headerRowDxfId="73">
  <tableColumns count="6">
    <tableColumn id="1" xr3:uid="{00000000-0010-0000-0200-000001000000}" name="Record ID"/>
    <tableColumn id="2" xr3:uid="{00000000-0010-0000-0200-000002000000}" name="Person Name"/>
    <tableColumn id="3" xr3:uid="{00000000-0010-0000-0200-000003000000}" name="Profile Type"/>
    <tableColumn id="4" xr3:uid="{00000000-0010-0000-0200-000004000000}" name="Date of Birth"/>
    <tableColumn id="5" xr3:uid="{00000000-0010-0000-0200-000005000000}" name="Home District"/>
    <tableColumn id="6" xr3:uid="{00000000-0010-0000-0200-000006000000}" name="Age" dataDxfId="72">
      <calculatedColumnFormula>DATEDIF(AgeKYCTable[[#This Row],[Date of Birth]],TODAY(),"Y")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rviceLengthTable" displayName="ServiceLengthTable" ref="A3:F11" headerRowDxfId="65" dataDxfId="66" totalsRowDxfId="67">
  <tableColumns count="6">
    <tableColumn id="1" xr3:uid="{00000000-0010-0000-0300-000001000000}" name="Emp ID" dataDxfId="71"/>
    <tableColumn id="2" xr3:uid="{00000000-0010-0000-0300-000002000000}" name="Employee Name" dataDxfId="70"/>
    <tableColumn id="3" xr3:uid="{00000000-0010-0000-0300-000003000000}" name="Designation" dataDxfId="69"/>
    <tableColumn id="4" xr3:uid="{00000000-0010-0000-0300-000004000000}" name="Department" dataDxfId="68"/>
    <tableColumn id="5" xr3:uid="{00000000-0010-0000-0300-000005000000}" name="Joining Date" dataDxfId="64"/>
    <tableColumn id="6" xr3:uid="{00000000-0010-0000-0300-000006000000}" name="Service Length" dataDxfId="63">
      <calculatedColumnFormula>DATEDIF(ServiceLengthTable[[#This Row],[Joining Date]],TODAY(),"Y")&amp;" Years "&amp;DATEDIF(ServiceLengthTable[[#This Row],[Joining Date]],TODAY(),"YM")&amp;" Months"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voiceAgingTable" displayName="InvoiceAgingTable" ref="A3:G11" headerRowDxfId="55" dataDxfId="56" totalsRowDxfId="57">
  <tableColumns count="7">
    <tableColumn id="1" xr3:uid="{00000000-0010-0000-0400-000001000000}" name="Invoice No" dataDxfId="62"/>
    <tableColumn id="2" xr3:uid="{00000000-0010-0000-0400-000002000000}" name="Customer Name" dataDxfId="61"/>
    <tableColumn id="3" xr3:uid="{00000000-0010-0000-0400-000003000000}" name="Channel" dataDxfId="60"/>
    <tableColumn id="4" xr3:uid="{00000000-0010-0000-0400-000004000000}" name="Sales Territory" dataDxfId="59"/>
    <tableColumn id="5" xr3:uid="{00000000-0010-0000-0400-000005000000}" name="Invoice Date" dataDxfId="58"/>
    <tableColumn id="6" xr3:uid="{00000000-0010-0000-0400-000006000000}" name="Invoice Amount" dataDxfId="54"/>
    <tableColumn id="7" xr3:uid="{00000000-0010-0000-0400-000007000000}" name="Aging Days" dataDxfId="53">
      <calculatedColumnFormula>TODAY()-InvoiceAgingTable[[#This Row],[Invoice Date]]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mentStatusTable" displayName="PaymentStatusTable" ref="A3:G11" headerRowDxfId="45" dataDxfId="46" totalsRowDxfId="47">
  <tableColumns count="7">
    <tableColumn id="1" xr3:uid="{00000000-0010-0000-0500-000001000000}" name="Invoice No" dataDxfId="52"/>
    <tableColumn id="2" xr3:uid="{00000000-0010-0000-0500-000002000000}" name="Customer Name" dataDxfId="51"/>
    <tableColumn id="3" xr3:uid="{00000000-0010-0000-0500-000003000000}" name="Sales Territory" dataDxfId="50"/>
    <tableColumn id="4" xr3:uid="{00000000-0010-0000-0500-000004000000}" name="Due Date" dataDxfId="49"/>
    <tableColumn id="5" xr3:uid="{00000000-0010-0000-0500-000005000000}" name="Due Amount" dataDxfId="48"/>
    <tableColumn id="6" xr3:uid="{00000000-0010-0000-0500-000006000000}" name="Collection Officer" dataDxfId="44"/>
    <tableColumn id="7" xr3:uid="{00000000-0010-0000-0500-000007000000}" name="Payment Status" dataDxfId="43">
      <calculatedColumnFormula>IF(PaymentStatusTable[[#This Row],[Due Date]]&lt;TODAY(),"Overdue","WithinDue Date")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bationTable" displayName="ProbationTable" ref="A3:G11" headerRowDxfId="35" dataDxfId="36" totalsRowDxfId="37">
  <tableColumns count="7">
    <tableColumn id="1" xr3:uid="{00000000-0010-0000-0700-000001000000}" name="Emp ID" dataDxfId="42"/>
    <tableColumn id="2" xr3:uid="{00000000-0010-0000-0700-000002000000}" name="Employee Name" dataDxfId="41"/>
    <tableColumn id="3" xr3:uid="{00000000-0010-0000-0700-000003000000}" name="Designation" dataDxfId="40"/>
    <tableColumn id="4" xr3:uid="{00000000-0010-0000-0700-000004000000}" name="Department" dataDxfId="39"/>
    <tableColumn id="5" xr3:uid="{00000000-0010-0000-0700-000005000000}" name="Joining Date" dataDxfId="38"/>
    <tableColumn id="6" xr3:uid="{00000000-0010-0000-0700-000006000000}" name="Probation Months" dataDxfId="34"/>
    <tableColumn id="7" xr3:uid="{00000000-0010-0000-0700-000007000000}" name="Probation End Date" dataDxfId="33">
      <calculatedColumnFormula>EDATE(ProbationTable[[#This Row],[Joining Date]],6)</calculatedColumnFormula>
    </tableColumn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eliverySLATable" displayName="DeliverySLATable" ref="A3:H11" headerRowDxfId="22" dataDxfId="23" totalsRowDxfId="24">
  <tableColumns count="8">
    <tableColumn id="1" xr3:uid="{00000000-0010-0000-0800-000001000000}" name="Order ID" dataDxfId="32"/>
    <tableColumn id="2" xr3:uid="{00000000-0010-0000-0800-000002000000}" name="Customer Name" dataDxfId="31"/>
    <tableColumn id="3" xr3:uid="{00000000-0010-0000-0800-000003000000}" name="District/City" dataDxfId="30"/>
    <tableColumn id="4" xr3:uid="{00000000-0010-0000-0800-000004000000}" name="Upazila/Area" dataDxfId="29"/>
    <tableColumn id="5" xr3:uid="{00000000-0010-0000-0800-000005000000}" name="Order Date" dataDxfId="28"/>
    <tableColumn id="6" xr3:uid="{00000000-0010-0000-0800-000006000000}" name="SLA Working Days" dataDxfId="27"/>
    <tableColumn id="7" xr3:uid="{00000000-0010-0000-0800-000007000000}" name="Weekend Code" dataDxfId="26"/>
    <tableColumn id="8" xr3:uid="{00000000-0010-0000-0800-000008000000}" name="Delivery Deadline" dataDxfId="25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ySalesTable" displayName="DaySalesTable" ref="A3:H11" headerRowDxfId="13" dataDxfId="14" totalsRowDxfId="15">
  <tableColumns count="8">
    <tableColumn id="1" xr3:uid="{00000000-0010-0000-0900-000001000000}" name="Sales ID" dataDxfId="21"/>
    <tableColumn id="2" xr3:uid="{00000000-0010-0000-0900-000002000000}" name="Sales Date" dataDxfId="20"/>
    <tableColumn id="3" xr3:uid="{00000000-0010-0000-0900-000003000000}" name="Outlet Name" dataDxfId="19"/>
    <tableColumn id="4" xr3:uid="{00000000-0010-0000-0900-000004000000}" name="Category" dataDxfId="18"/>
    <tableColumn id="5" xr3:uid="{00000000-0010-0000-0900-000005000000}" name="Sales Amount" dataDxfId="17"/>
    <tableColumn id="6" xr3:uid="{00000000-0010-0000-0900-000006000000}" name="Footfall" dataDxfId="16"/>
    <tableColumn id="7" xr3:uid="{00000000-0010-0000-0900-000007000000}" name="Day Name" dataDxfId="4">
      <calculatedColumnFormula>TEXT(DaySalesTable[[#This Row],[Sales Date]],"dddd")</calculatedColumnFormula>
    </tableColumn>
    <tableColumn id="8" xr3:uid="{00000000-0010-0000-0900-000008000000}" name="Day Type" dataDxfId="3">
      <calculatedColumnFormula>IF(OR(TEXT(DaySalesTable[[#This Row],[Sales Date]],"dddd")="Friday",TEXT(DaySalesTable[[#This Row],[Sales Date]],"dddd")="Saturday"),"Weekend","Weekday")</calculatedColumnFormula>
    </tableColumn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onthlyHelperTable" displayName="MonthlyHelperTable" ref="A3:H11" headerRowDxfId="5" dataDxfId="6" totalsRowDxfId="7">
  <tableColumns count="8">
    <tableColumn id="1" xr3:uid="{00000000-0010-0000-0A00-000001000000}" name="Sales Order" dataDxfId="12"/>
    <tableColumn id="2" xr3:uid="{00000000-0010-0000-0A00-000002000000}" name="Sales Date" dataDxfId="11"/>
    <tableColumn id="3" xr3:uid="{00000000-0010-0000-0A00-000003000000}" name="Lead Source" dataDxfId="10"/>
    <tableColumn id="4" xr3:uid="{00000000-0010-0000-0A00-000004000000}" name="Product/Course" dataDxfId="9"/>
    <tableColumn id="5" xr3:uid="{00000000-0010-0000-0A00-000005000000}" name="Qty" dataDxfId="8"/>
    <tableColumn id="6" xr3:uid="{00000000-0010-0000-0A00-000006000000}" name="Revenue" dataDxfId="2"/>
    <tableColumn id="7" xr3:uid="{00000000-0010-0000-0A00-000007000000}" name="Month End Helper" dataDxfId="1">
      <calculatedColumnFormula>EOMONTH(MonthlyHelperTable[[#This Row],[Sales Date]],0)</calculatedColumnFormula>
    </tableColumn>
    <tableColumn id="8" xr3:uid="{00000000-0010-0000-0A00-000008000000}" name="Month-Year Display" dataDxfId="0">
      <calculatedColumnFormula>TEXT(MonthlyHelperTable[[#This Row],[Sales Date]],"mmm-yyyy")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22" sqref="B22"/>
    </sheetView>
  </sheetViews>
  <sheetFormatPr defaultRowHeight="13.8"/>
  <cols>
    <col min="1" max="1" width="32" customWidth="1"/>
    <col min="2" max="2" width="57.5" bestFit="1" customWidth="1"/>
    <col min="3" max="3" width="61.8984375" bestFit="1" customWidth="1"/>
  </cols>
  <sheetData>
    <row r="1" spans="1:3" ht="33" customHeight="1">
      <c r="A1" s="4" t="s">
        <v>307</v>
      </c>
      <c r="B1" s="5"/>
      <c r="C1" s="5"/>
    </row>
    <row r="3" spans="1:3" ht="21.6" customHeight="1">
      <c r="A3" s="3" t="s">
        <v>0</v>
      </c>
      <c r="B3" s="3" t="s">
        <v>1</v>
      </c>
      <c r="C3" s="3" t="s">
        <v>2</v>
      </c>
    </row>
    <row r="4" spans="1:3" ht="15" customHeight="1">
      <c r="A4" t="s">
        <v>308</v>
      </c>
      <c r="B4" t="s">
        <v>3</v>
      </c>
      <c r="C4" t="s">
        <v>4</v>
      </c>
    </row>
    <row r="5" spans="1:3">
      <c r="A5" t="s">
        <v>309</v>
      </c>
      <c r="B5" t="s">
        <v>5</v>
      </c>
      <c r="C5" t="s">
        <v>6</v>
      </c>
    </row>
    <row r="6" spans="1:3">
      <c r="A6" t="s">
        <v>310</v>
      </c>
      <c r="B6" t="s">
        <v>7</v>
      </c>
      <c r="C6" t="s">
        <v>8</v>
      </c>
    </row>
    <row r="7" spans="1:3">
      <c r="A7" t="s">
        <v>311</v>
      </c>
      <c r="B7" t="s">
        <v>9</v>
      </c>
      <c r="C7" t="s">
        <v>10</v>
      </c>
    </row>
    <row r="8" spans="1:3">
      <c r="A8" t="s">
        <v>312</v>
      </c>
      <c r="B8" t="s">
        <v>11</v>
      </c>
      <c r="C8" t="s">
        <v>12</v>
      </c>
    </row>
    <row r="9" spans="1:3">
      <c r="A9" t="s">
        <v>313</v>
      </c>
      <c r="B9" t="s">
        <v>13</v>
      </c>
      <c r="C9" t="s">
        <v>14</v>
      </c>
    </row>
    <row r="10" spans="1:3">
      <c r="A10" t="s">
        <v>314</v>
      </c>
      <c r="B10" t="s">
        <v>15</v>
      </c>
      <c r="C10" t="s">
        <v>16</v>
      </c>
    </row>
    <row r="11" spans="1:3">
      <c r="A11" t="s">
        <v>315</v>
      </c>
      <c r="B11" t="s">
        <v>17</v>
      </c>
      <c r="C11" t="s">
        <v>18</v>
      </c>
    </row>
    <row r="12" spans="1:3">
      <c r="A12" t="s">
        <v>316</v>
      </c>
      <c r="B12" t="s">
        <v>19</v>
      </c>
      <c r="C12" t="s">
        <v>20</v>
      </c>
    </row>
    <row r="13" spans="1:3">
      <c r="A13" t="s">
        <v>317</v>
      </c>
      <c r="B13" t="s">
        <v>21</v>
      </c>
      <c r="C13" t="s">
        <v>22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H6" sqref="H6"/>
    </sheetView>
  </sheetViews>
  <sheetFormatPr defaultRowHeight="13.8"/>
  <cols>
    <col min="1" max="1" width="12" customWidth="1"/>
    <col min="2" max="2" width="20" customWidth="1"/>
    <col min="3" max="3" width="18" customWidth="1"/>
    <col min="4" max="4" width="22" customWidth="1"/>
    <col min="5" max="8" width="14" customWidth="1"/>
    <col min="11" max="11" width="69.59765625" customWidth="1"/>
  </cols>
  <sheetData>
    <row r="1" spans="1:11" ht="26.4" customHeight="1">
      <c r="A1" s="4" t="s">
        <v>23</v>
      </c>
      <c r="B1" s="5"/>
      <c r="C1" s="5"/>
      <c r="D1" s="5"/>
      <c r="E1" s="5"/>
      <c r="F1" s="5"/>
      <c r="G1" s="5"/>
      <c r="H1" s="5"/>
    </row>
    <row r="2" spans="1:11" ht="45.9" customHeight="1">
      <c r="A2" s="6" t="s">
        <v>24</v>
      </c>
      <c r="B2" s="7"/>
      <c r="C2" s="7"/>
      <c r="D2" s="7"/>
      <c r="E2" s="7"/>
      <c r="F2" s="7"/>
      <c r="G2" s="7"/>
      <c r="H2" s="7"/>
      <c r="K2" s="2"/>
    </row>
    <row r="3" spans="1:11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13" t="s">
        <v>31</v>
      </c>
      <c r="H3" s="13" t="s">
        <v>32</v>
      </c>
    </row>
    <row r="4" spans="1:11">
      <c r="A4" s="9" t="s">
        <v>33</v>
      </c>
      <c r="B4" s="9" t="s">
        <v>34</v>
      </c>
      <c r="C4" s="9" t="s">
        <v>35</v>
      </c>
      <c r="D4" s="9" t="s">
        <v>36</v>
      </c>
      <c r="E4" s="10">
        <v>0.39583333333333331</v>
      </c>
      <c r="F4" s="10">
        <v>0.3833333333333333</v>
      </c>
      <c r="G4" s="11" t="str">
        <f>IF(HRAttendanceTable[[#This Row],[In Time]]&gt;HRAttendanceTable[[#This Row],[Shift Start]],"Late","On Time")</f>
        <v>On Time</v>
      </c>
      <c r="H4" s="12">
        <f>IF(HRAttendanceTable[[#This Row],[In Time]]&gt;HRAttendanceTable[[#This Row],[Shift Start]],(HRAttendanceTable[[#This Row],[In Time]]-HRAttendanceTable[[#This Row],[Shift Start]])*1440,0)</f>
        <v>0</v>
      </c>
    </row>
    <row r="5" spans="1:11">
      <c r="A5" s="9" t="s">
        <v>37</v>
      </c>
      <c r="B5" s="9" t="s">
        <v>38</v>
      </c>
      <c r="C5" s="9" t="s">
        <v>39</v>
      </c>
      <c r="D5" s="9" t="s">
        <v>40</v>
      </c>
      <c r="E5" s="10">
        <v>0.39583333333333331</v>
      </c>
      <c r="F5" s="10">
        <v>0.3979166666666667</v>
      </c>
      <c r="G5" s="11" t="str">
        <f>IF(HRAttendanceTable[[#This Row],[In Time]]&gt;HRAttendanceTable[[#This Row],[Shift Start]],"Late","On Time")</f>
        <v>Late</v>
      </c>
      <c r="H5" s="12">
        <f>IF(HRAttendanceTable[[#This Row],[In Time]]&gt;HRAttendanceTable[[#This Row],[Shift Start]],(HRAttendanceTable[[#This Row],[In Time]]-HRAttendanceTable[[#This Row],[Shift Start]])*1440,0)</f>
        <v>3.0000000000000693</v>
      </c>
    </row>
    <row r="6" spans="1:11">
      <c r="A6" s="9" t="s">
        <v>41</v>
      </c>
      <c r="B6" s="9" t="s">
        <v>42</v>
      </c>
      <c r="C6" s="9" t="s">
        <v>43</v>
      </c>
      <c r="D6" s="9" t="s">
        <v>44</v>
      </c>
      <c r="E6" s="10">
        <v>0.39583333333333331</v>
      </c>
      <c r="F6" s="10">
        <v>0.38750000000000001</v>
      </c>
      <c r="G6" s="11" t="str">
        <f>IF(HRAttendanceTable[[#This Row],[In Time]]&gt;HRAttendanceTable[[#This Row],[Shift Start]],"Late","On Time")</f>
        <v>On Time</v>
      </c>
      <c r="H6" s="12">
        <f>IF(HRAttendanceTable[[#This Row],[In Time]]&gt;HRAttendanceTable[[#This Row],[Shift Start]],(HRAttendanceTable[[#This Row],[In Time]]-HRAttendanceTable[[#This Row],[Shift Start]])*1440,0)</f>
        <v>0</v>
      </c>
    </row>
    <row r="7" spans="1:11">
      <c r="A7" s="9" t="s">
        <v>45</v>
      </c>
      <c r="B7" s="9" t="s">
        <v>46</v>
      </c>
      <c r="C7" s="9" t="s">
        <v>47</v>
      </c>
      <c r="D7" s="9" t="s">
        <v>48</v>
      </c>
      <c r="E7" s="10">
        <v>0.39583333333333331</v>
      </c>
      <c r="F7" s="10">
        <v>0.46041666666666664</v>
      </c>
      <c r="G7" s="11" t="str">
        <f>IF(HRAttendanceTable[[#This Row],[In Time]]&gt;HRAttendanceTable[[#This Row],[Shift Start]],"Late","On Time")</f>
        <v>Late</v>
      </c>
      <c r="H7" s="12">
        <f>IF(HRAttendanceTable[[#This Row],[In Time]]&gt;HRAttendanceTable[[#This Row],[Shift Start]],(HRAttendanceTable[[#This Row],[In Time]]-HRAttendanceTable[[#This Row],[Shift Start]])*1440,0)</f>
        <v>92.999999999999986</v>
      </c>
    </row>
    <row r="8" spans="1:11">
      <c r="A8" s="9" t="s">
        <v>49</v>
      </c>
      <c r="B8" s="9" t="s">
        <v>50</v>
      </c>
      <c r="C8" s="9" t="s">
        <v>51</v>
      </c>
      <c r="D8" s="9" t="s">
        <v>52</v>
      </c>
      <c r="E8" s="10">
        <v>0.39583333333333331</v>
      </c>
      <c r="F8" s="10">
        <v>0.35749999999999998</v>
      </c>
      <c r="G8" s="11" t="str">
        <f>IF(HRAttendanceTable[[#This Row],[In Time]]&gt;HRAttendanceTable[[#This Row],[Shift Start]],"Late","On Time")</f>
        <v>On Time</v>
      </c>
      <c r="H8" s="12">
        <f>IF(HRAttendanceTable[[#This Row],[In Time]]&gt;HRAttendanceTable[[#This Row],[Shift Start]],(HRAttendanceTable[[#This Row],[In Time]]-HRAttendanceTable[[#This Row],[Shift Start]])*1440,0)</f>
        <v>0</v>
      </c>
    </row>
    <row r="9" spans="1:11">
      <c r="A9" s="9" t="s">
        <v>53</v>
      </c>
      <c r="B9" s="9" t="s">
        <v>54</v>
      </c>
      <c r="C9" s="9" t="s">
        <v>55</v>
      </c>
      <c r="D9" s="9" t="s">
        <v>56</v>
      </c>
      <c r="E9" s="10">
        <v>0.39583333333333331</v>
      </c>
      <c r="F9" s="10">
        <v>0.39250000000000002</v>
      </c>
      <c r="G9" s="11" t="str">
        <f>IF(HRAttendanceTable[[#This Row],[In Time]]&gt;HRAttendanceTable[[#This Row],[Shift Start]],"Late","On Time")</f>
        <v>On Time</v>
      </c>
      <c r="H9" s="12">
        <f>IF(HRAttendanceTable[[#This Row],[In Time]]&gt;HRAttendanceTable[[#This Row],[Shift Start]],(HRAttendanceTable[[#This Row],[In Time]]-HRAttendanceTable[[#This Row],[Shift Start]])*1440,0)</f>
        <v>0</v>
      </c>
    </row>
    <row r="10" spans="1:11">
      <c r="A10" s="9" t="s">
        <v>57</v>
      </c>
      <c r="B10" s="9" t="s">
        <v>58</v>
      </c>
      <c r="C10" s="9" t="s">
        <v>35</v>
      </c>
      <c r="D10" s="9" t="s">
        <v>59</v>
      </c>
      <c r="E10" s="10">
        <v>0.39583333333333331</v>
      </c>
      <c r="F10" s="10">
        <v>0.38250000000000001</v>
      </c>
      <c r="G10" s="11" t="str">
        <f>IF(HRAttendanceTable[[#This Row],[In Time]]&gt;HRAttendanceTable[[#This Row],[Shift Start]],"Late","On Time")</f>
        <v>On Time</v>
      </c>
      <c r="H10" s="12">
        <f>IF(HRAttendanceTable[[#This Row],[In Time]]&gt;HRAttendanceTable[[#This Row],[Shift Start]],(HRAttendanceTable[[#This Row],[In Time]]-HRAttendanceTable[[#This Row],[Shift Start]])*1440,0)</f>
        <v>0</v>
      </c>
    </row>
    <row r="11" spans="1:11">
      <c r="A11" s="9" t="s">
        <v>60</v>
      </c>
      <c r="B11" s="9" t="s">
        <v>61</v>
      </c>
      <c r="C11" s="9" t="s">
        <v>62</v>
      </c>
      <c r="D11" s="9" t="s">
        <v>63</v>
      </c>
      <c r="E11" s="10">
        <v>0.39583333333333331</v>
      </c>
      <c r="F11" s="10">
        <v>0.38791666666666669</v>
      </c>
      <c r="G11" s="11" t="str">
        <f>IF(HRAttendanceTable[[#This Row],[In Time]]&gt;HRAttendanceTable[[#This Row],[Shift Start]],"Late","On Time")</f>
        <v>On Time</v>
      </c>
      <c r="H11" s="12">
        <f>IF(HRAttendanceTable[[#This Row],[In Time]]&gt;HRAttendanceTable[[#This Row],[Shift Start]],(HRAttendanceTable[[#This Row],[In Time]]-HRAttendanceTable[[#This Row],[Shift Start]])*1440,0)</f>
        <v>0</v>
      </c>
    </row>
  </sheetData>
  <mergeCells count="2">
    <mergeCell ref="A1:H1"/>
    <mergeCell ref="A2:H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D6" sqref="D6"/>
    </sheetView>
  </sheetViews>
  <sheetFormatPr defaultRowHeight="13.8"/>
  <cols>
    <col min="1" max="1" width="13" customWidth="1"/>
    <col min="2" max="2" width="20" customWidth="1"/>
    <col min="3" max="3" width="22" customWidth="1"/>
    <col min="4" max="4" width="15" customWidth="1"/>
    <col min="5" max="5" width="16" customWidth="1"/>
    <col min="6" max="6" width="10" customWidth="1"/>
  </cols>
  <sheetData>
    <row r="1" spans="1:6" ht="24.6" customHeight="1">
      <c r="A1" s="4" t="s">
        <v>64</v>
      </c>
      <c r="B1" s="5"/>
      <c r="C1" s="5"/>
      <c r="D1" s="5"/>
      <c r="E1" s="5"/>
      <c r="F1" s="5"/>
    </row>
    <row r="2" spans="1:6" ht="45.9" customHeight="1">
      <c r="A2" s="6" t="s">
        <v>65</v>
      </c>
      <c r="B2" s="7"/>
      <c r="C2" s="7"/>
      <c r="D2" s="7"/>
      <c r="E2" s="7"/>
      <c r="F2" s="7"/>
    </row>
    <row r="3" spans="1:6" ht="18" customHeight="1">
      <c r="A3" s="3" t="s">
        <v>66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</row>
    <row r="4" spans="1:6">
      <c r="A4" t="s">
        <v>72</v>
      </c>
      <c r="B4" t="s">
        <v>73</v>
      </c>
      <c r="C4" t="s">
        <v>74</v>
      </c>
      <c r="D4" s="1">
        <v>35869</v>
      </c>
      <c r="E4" t="s">
        <v>75</v>
      </c>
      <c r="F4" s="14">
        <f ca="1">DATEDIF(AgeKYCTable[[#This Row],[Date of Birth]],TODAY(),"Y")</f>
        <v>28</v>
      </c>
    </row>
    <row r="5" spans="1:6">
      <c r="A5" t="s">
        <v>76</v>
      </c>
      <c r="B5" t="s">
        <v>77</v>
      </c>
      <c r="C5" t="s">
        <v>78</v>
      </c>
      <c r="D5" s="1">
        <v>37092</v>
      </c>
      <c r="E5" t="s">
        <v>79</v>
      </c>
      <c r="F5" s="14">
        <f ca="1">DATEDIF(AgeKYCTable[[#This Row],[Date of Birth]],TODAY(),"Y")</f>
        <v>24</v>
      </c>
    </row>
    <row r="6" spans="1:6">
      <c r="A6" t="s">
        <v>80</v>
      </c>
      <c r="B6" t="s">
        <v>81</v>
      </c>
      <c r="C6" t="s">
        <v>82</v>
      </c>
      <c r="D6" s="1">
        <v>32817</v>
      </c>
      <c r="E6" t="s">
        <v>83</v>
      </c>
      <c r="F6" s="14">
        <f ca="1">DATEDIF(AgeKYCTable[[#This Row],[Date of Birth]],TODAY(),"Y")</f>
        <v>36</v>
      </c>
    </row>
    <row r="7" spans="1:6">
      <c r="A7" t="s">
        <v>84</v>
      </c>
      <c r="B7" t="s">
        <v>85</v>
      </c>
      <c r="C7" t="s">
        <v>86</v>
      </c>
      <c r="D7" s="1">
        <v>34709</v>
      </c>
      <c r="E7" t="s">
        <v>87</v>
      </c>
      <c r="F7" s="14">
        <f ca="1">DATEDIF(AgeKYCTable[[#This Row],[Date of Birth]],TODAY(),"Y")</f>
        <v>31</v>
      </c>
    </row>
    <row r="8" spans="1:6">
      <c r="A8" t="s">
        <v>88</v>
      </c>
      <c r="B8" t="s">
        <v>89</v>
      </c>
      <c r="C8" t="s">
        <v>90</v>
      </c>
      <c r="D8" s="1">
        <v>39054</v>
      </c>
      <c r="E8" t="s">
        <v>91</v>
      </c>
      <c r="F8" s="14">
        <f ca="1">DATEDIF(AgeKYCTable[[#This Row],[Date of Birth]],TODAY(),"Y")</f>
        <v>19</v>
      </c>
    </row>
    <row r="9" spans="1:6">
      <c r="A9" t="s">
        <v>92</v>
      </c>
      <c r="B9" t="s">
        <v>93</v>
      </c>
      <c r="C9" t="s">
        <v>94</v>
      </c>
      <c r="D9" s="1">
        <v>38102</v>
      </c>
      <c r="E9" t="s">
        <v>95</v>
      </c>
      <c r="F9" s="14">
        <f ca="1">DATEDIF(AgeKYCTable[[#This Row],[Date of Birth]],TODAY(),"Y")</f>
        <v>22</v>
      </c>
    </row>
    <row r="10" spans="1:6">
      <c r="A10" t="s">
        <v>96</v>
      </c>
      <c r="B10" t="s">
        <v>97</v>
      </c>
      <c r="C10" t="s">
        <v>98</v>
      </c>
      <c r="D10" s="1">
        <v>29112</v>
      </c>
      <c r="E10" t="s">
        <v>99</v>
      </c>
      <c r="F10" s="14">
        <f ca="1">DATEDIF(AgeKYCTable[[#This Row],[Date of Birth]],TODAY(),"Y")</f>
        <v>46</v>
      </c>
    </row>
    <row r="11" spans="1:6">
      <c r="A11" t="s">
        <v>100</v>
      </c>
      <c r="B11" t="s">
        <v>101</v>
      </c>
      <c r="C11" t="s">
        <v>102</v>
      </c>
      <c r="D11" s="1">
        <v>36341</v>
      </c>
      <c r="E11" t="s">
        <v>103</v>
      </c>
      <c r="F11" s="14">
        <f ca="1">DATEDIF(AgeKYCTable[[#This Row],[Date of Birth]],TODAY(),"Y")</f>
        <v>26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="115" zoomScaleNormal="115" workbookViewId="0">
      <selection activeCell="F5" sqref="F5"/>
    </sheetView>
  </sheetViews>
  <sheetFormatPr defaultRowHeight="13.8"/>
  <cols>
    <col min="1" max="1" width="13" customWidth="1"/>
    <col min="2" max="3" width="20" customWidth="1"/>
    <col min="4" max="5" width="15" customWidth="1"/>
    <col min="6" max="6" width="22" customWidth="1"/>
  </cols>
  <sheetData>
    <row r="1" spans="1:6" ht="24.6" customHeight="1">
      <c r="A1" s="17" t="s">
        <v>104</v>
      </c>
      <c r="B1" s="18"/>
      <c r="C1" s="18"/>
      <c r="D1" s="18"/>
      <c r="E1" s="18"/>
      <c r="F1" s="18"/>
    </row>
    <row r="2" spans="1:6" ht="45.9" customHeight="1">
      <c r="A2" s="6" t="s">
        <v>105</v>
      </c>
      <c r="B2" s="20"/>
      <c r="C2" s="20"/>
      <c r="D2" s="20"/>
      <c r="E2" s="20"/>
      <c r="F2" s="20"/>
    </row>
    <row r="3" spans="1:6">
      <c r="A3" s="3" t="s">
        <v>25</v>
      </c>
      <c r="B3" s="3" t="s">
        <v>26</v>
      </c>
      <c r="C3" s="3" t="s">
        <v>106</v>
      </c>
      <c r="D3" s="3" t="s">
        <v>27</v>
      </c>
      <c r="E3" s="3" t="s">
        <v>107</v>
      </c>
      <c r="F3" s="3" t="s">
        <v>108</v>
      </c>
    </row>
    <row r="4" spans="1:6">
      <c r="A4" s="15" t="s">
        <v>109</v>
      </c>
      <c r="B4" s="15" t="s">
        <v>110</v>
      </c>
      <c r="C4" s="15" t="s">
        <v>111</v>
      </c>
      <c r="D4" s="15" t="s">
        <v>112</v>
      </c>
      <c r="E4" s="16">
        <v>44206</v>
      </c>
      <c r="F4" s="19" t="str">
        <f ca="1">DATEDIF(ServiceLengthTable[[#This Row],[Joining Date]],TODAY(),"Y")&amp;" Years "&amp;DATEDIF(ServiceLengthTable[[#This Row],[Joining Date]],TODAY(),"YM")&amp;" Months"</f>
        <v>5 Years 5 Months</v>
      </c>
    </row>
    <row r="5" spans="1:6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45153</v>
      </c>
      <c r="F5" s="19" t="str">
        <f ca="1">DATEDIF(ServiceLengthTable[[#This Row],[Joining Date]],TODAY(),"Y")&amp;" Years "&amp;DATEDIF(ServiceLengthTable[[#This Row],[Joining Date]],TODAY(),"YM")&amp;" Months"</f>
        <v>2 Years 10 Months</v>
      </c>
    </row>
    <row r="6" spans="1:6">
      <c r="A6" s="15" t="s">
        <v>117</v>
      </c>
      <c r="B6" s="15" t="s">
        <v>118</v>
      </c>
      <c r="C6" s="15" t="s">
        <v>119</v>
      </c>
      <c r="D6" s="15" t="s">
        <v>120</v>
      </c>
      <c r="E6" s="16">
        <v>43525</v>
      </c>
      <c r="F6" s="19" t="str">
        <f ca="1">DATEDIF(ServiceLengthTable[[#This Row],[Joining Date]],TODAY(),"Y")&amp;" Years "&amp;DATEDIF(ServiceLengthTable[[#This Row],[Joining Date]],TODAY(),"YM")&amp;" Months"</f>
        <v>7 Years 3 Months</v>
      </c>
    </row>
    <row r="7" spans="1:6">
      <c r="A7" s="15" t="s">
        <v>121</v>
      </c>
      <c r="B7" s="15" t="s">
        <v>122</v>
      </c>
      <c r="C7" s="15" t="s">
        <v>123</v>
      </c>
      <c r="D7" s="15" t="s">
        <v>55</v>
      </c>
      <c r="E7" s="16">
        <v>44885</v>
      </c>
      <c r="F7" s="19" t="str">
        <f ca="1">DATEDIF(ServiceLengthTable[[#This Row],[Joining Date]],TODAY(),"Y")&amp;" Years "&amp;DATEDIF(ServiceLengthTable[[#This Row],[Joining Date]],TODAY(),"YM")&amp;" Months"</f>
        <v>3 Years 6 Months</v>
      </c>
    </row>
    <row r="8" spans="1:6">
      <c r="A8" s="15" t="s">
        <v>124</v>
      </c>
      <c r="B8" s="15" t="s">
        <v>125</v>
      </c>
      <c r="C8" s="15" t="s">
        <v>126</v>
      </c>
      <c r="D8" s="15" t="s">
        <v>127</v>
      </c>
      <c r="E8" s="16">
        <v>43989</v>
      </c>
      <c r="F8" s="19" t="str">
        <f ca="1">DATEDIF(ServiceLengthTable[[#This Row],[Joining Date]],TODAY(),"Y")&amp;" Years "&amp;DATEDIF(ServiceLengthTable[[#This Row],[Joining Date]],TODAY(),"YM")&amp;" Months"</f>
        <v>6 Years 0 Months</v>
      </c>
    </row>
    <row r="9" spans="1:6">
      <c r="A9" s="15" t="s">
        <v>128</v>
      </c>
      <c r="B9" s="15" t="s">
        <v>129</v>
      </c>
      <c r="C9" s="15" t="s">
        <v>130</v>
      </c>
      <c r="D9" s="15" t="s">
        <v>116</v>
      </c>
      <c r="E9" s="16">
        <v>45334</v>
      </c>
      <c r="F9" s="19" t="str">
        <f ca="1">DATEDIF(ServiceLengthTable[[#This Row],[Joining Date]],TODAY(),"Y")&amp;" Years "&amp;DATEDIF(ServiceLengthTable[[#This Row],[Joining Date]],TODAY(),"YM")&amp;" Months"</f>
        <v>2 Years 4 Months</v>
      </c>
    </row>
    <row r="10" spans="1:6">
      <c r="A10" s="15" t="s">
        <v>131</v>
      </c>
      <c r="B10" s="15" t="s">
        <v>132</v>
      </c>
      <c r="C10" s="15" t="s">
        <v>133</v>
      </c>
      <c r="D10" s="15" t="s">
        <v>62</v>
      </c>
      <c r="E10" s="16">
        <v>45662</v>
      </c>
      <c r="F10" s="19" t="str">
        <f ca="1">DATEDIF(ServiceLengthTable[[#This Row],[Joining Date]],TODAY(),"Y")&amp;" Years "&amp;DATEDIF(ServiceLengthTable[[#This Row],[Joining Date]],TODAY(),"YM")&amp;" Months"</f>
        <v>1 Years 5 Months</v>
      </c>
    </row>
    <row r="11" spans="1:6">
      <c r="A11" s="15" t="s">
        <v>134</v>
      </c>
      <c r="B11" s="15" t="s">
        <v>135</v>
      </c>
      <c r="C11" s="15" t="s">
        <v>136</v>
      </c>
      <c r="D11" s="15" t="s">
        <v>35</v>
      </c>
      <c r="E11" s="16">
        <v>43368</v>
      </c>
      <c r="F11" s="19" t="str">
        <f ca="1">DATEDIF(ServiceLengthTable[[#This Row],[Joining Date]],TODAY(),"Y")&amp;" Years "&amp;DATEDIF(ServiceLengthTable[[#This Row],[Joining Date]],TODAY(),"YM")&amp;" Months"</f>
        <v>7 Years 8 Months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="115" zoomScaleNormal="115" workbookViewId="0">
      <selection activeCell="G5" sqref="G5"/>
    </sheetView>
  </sheetViews>
  <sheetFormatPr defaultRowHeight="13.8"/>
  <cols>
    <col min="1" max="1" width="14" customWidth="1"/>
    <col min="2" max="2" width="22" customWidth="1"/>
    <col min="3" max="3" width="16" customWidth="1"/>
    <col min="4" max="4" width="20" customWidth="1"/>
    <col min="5" max="5" width="15" customWidth="1"/>
    <col min="6" max="6" width="16" customWidth="1"/>
    <col min="7" max="7" width="13" customWidth="1"/>
  </cols>
  <sheetData>
    <row r="1" spans="1:7" ht="19.2" customHeight="1">
      <c r="A1" s="17" t="s">
        <v>137</v>
      </c>
      <c r="B1" s="18"/>
      <c r="C1" s="18"/>
      <c r="D1" s="18"/>
      <c r="E1" s="18"/>
      <c r="F1" s="18"/>
      <c r="G1" s="18"/>
    </row>
    <row r="2" spans="1:7" ht="45.9" customHeight="1">
      <c r="A2" s="6" t="s">
        <v>138</v>
      </c>
      <c r="B2" s="20"/>
      <c r="C2" s="20"/>
      <c r="D2" s="20"/>
      <c r="E2" s="20"/>
      <c r="F2" s="20"/>
      <c r="G2" s="20"/>
    </row>
    <row r="3" spans="1:7">
      <c r="A3" s="3" t="s">
        <v>139</v>
      </c>
      <c r="B3" s="3" t="s">
        <v>140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</row>
    <row r="4" spans="1:7">
      <c r="A4" s="15" t="s">
        <v>146</v>
      </c>
      <c r="B4" s="15" t="s">
        <v>147</v>
      </c>
      <c r="C4" s="15" t="s">
        <v>148</v>
      </c>
      <c r="D4" s="15" t="s">
        <v>149</v>
      </c>
      <c r="E4" s="16">
        <v>46143</v>
      </c>
      <c r="F4" s="21">
        <v>125000</v>
      </c>
      <c r="G4" s="23">
        <f ca="1">TODAY()-InvoiceAgingTable[[#This Row],[Invoice Date]]</f>
        <v>48</v>
      </c>
    </row>
    <row r="5" spans="1:7">
      <c r="A5" s="15" t="s">
        <v>150</v>
      </c>
      <c r="B5" s="15" t="s">
        <v>151</v>
      </c>
      <c r="C5" s="15" t="s">
        <v>152</v>
      </c>
      <c r="D5" s="15" t="s">
        <v>153</v>
      </c>
      <c r="E5" s="16">
        <v>46154</v>
      </c>
      <c r="F5" s="21">
        <v>238500</v>
      </c>
      <c r="G5" s="23">
        <f ca="1">TODAY()-InvoiceAgingTable[[#This Row],[Invoice Date]]</f>
        <v>37</v>
      </c>
    </row>
    <row r="6" spans="1:7">
      <c r="A6" s="15" t="s">
        <v>154</v>
      </c>
      <c r="B6" s="15" t="s">
        <v>155</v>
      </c>
      <c r="C6" s="15" t="s">
        <v>148</v>
      </c>
      <c r="D6" s="15" t="s">
        <v>156</v>
      </c>
      <c r="E6" s="16">
        <v>46137</v>
      </c>
      <c r="F6" s="21">
        <v>98500</v>
      </c>
      <c r="G6" s="23">
        <f ca="1">TODAY()-InvoiceAgingTable[[#This Row],[Invoice Date]]</f>
        <v>54</v>
      </c>
    </row>
    <row r="7" spans="1:7">
      <c r="A7" s="15" t="s">
        <v>157</v>
      </c>
      <c r="B7" s="15" t="s">
        <v>158</v>
      </c>
      <c r="C7" s="15" t="s">
        <v>159</v>
      </c>
      <c r="D7" s="15" t="s">
        <v>160</v>
      </c>
      <c r="E7" s="16">
        <v>46171</v>
      </c>
      <c r="F7" s="21">
        <v>310000</v>
      </c>
      <c r="G7" s="23">
        <f ca="1">TODAY()-InvoiceAgingTable[[#This Row],[Invoice Date]]</f>
        <v>20</v>
      </c>
    </row>
    <row r="8" spans="1:7">
      <c r="A8" s="15" t="s">
        <v>161</v>
      </c>
      <c r="B8" s="15" t="s">
        <v>162</v>
      </c>
      <c r="C8" s="15" t="s">
        <v>152</v>
      </c>
      <c r="D8" s="15" t="s">
        <v>163</v>
      </c>
      <c r="E8" s="16">
        <v>46111</v>
      </c>
      <c r="F8" s="21">
        <v>176000</v>
      </c>
      <c r="G8" s="23">
        <f ca="1">TODAY()-InvoiceAgingTable[[#This Row],[Invoice Date]]</f>
        <v>80</v>
      </c>
    </row>
    <row r="9" spans="1:7">
      <c r="A9" s="15" t="s">
        <v>164</v>
      </c>
      <c r="B9" s="15" t="s">
        <v>165</v>
      </c>
      <c r="C9" s="15" t="s">
        <v>148</v>
      </c>
      <c r="D9" s="15" t="s">
        <v>166</v>
      </c>
      <c r="E9" s="16">
        <v>46162</v>
      </c>
      <c r="F9" s="21">
        <v>88500</v>
      </c>
      <c r="G9" s="23">
        <f ca="1">TODAY()-InvoiceAgingTable[[#This Row],[Invoice Date]]</f>
        <v>29</v>
      </c>
    </row>
    <row r="10" spans="1:7">
      <c r="A10" s="15" t="s">
        <v>167</v>
      </c>
      <c r="B10" s="15" t="s">
        <v>168</v>
      </c>
      <c r="C10" s="15" t="s">
        <v>148</v>
      </c>
      <c r="D10" s="15" t="s">
        <v>169</v>
      </c>
      <c r="E10" s="16">
        <v>46122</v>
      </c>
      <c r="F10" s="21">
        <v>143700</v>
      </c>
      <c r="G10" s="23">
        <f ca="1">TODAY()-InvoiceAgingTable[[#This Row],[Invoice Date]]</f>
        <v>69</v>
      </c>
    </row>
    <row r="11" spans="1:7">
      <c r="A11" s="15" t="s">
        <v>170</v>
      </c>
      <c r="B11" s="15" t="s">
        <v>171</v>
      </c>
      <c r="C11" s="15" t="s">
        <v>159</v>
      </c>
      <c r="D11" s="15" t="s">
        <v>172</v>
      </c>
      <c r="E11" s="16">
        <v>46174</v>
      </c>
      <c r="F11" s="21">
        <v>402000</v>
      </c>
      <c r="G11" s="23">
        <f ca="1">TODAY()-InvoiceAgingTable[[#This Row],[Invoice Date]]</f>
        <v>17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zoomScale="117" zoomScaleNormal="160" workbookViewId="0">
      <selection activeCell="G5" sqref="G5"/>
    </sheetView>
  </sheetViews>
  <sheetFormatPr defaultRowHeight="13.8"/>
  <cols>
    <col min="1" max="1" width="14" customWidth="1"/>
    <col min="2" max="2" width="22" customWidth="1"/>
    <col min="3" max="3" width="20" customWidth="1"/>
    <col min="4" max="4" width="15" customWidth="1"/>
    <col min="5" max="5" width="14" customWidth="1"/>
    <col min="6" max="6" width="20" customWidth="1"/>
    <col min="7" max="7" width="18" customWidth="1"/>
  </cols>
  <sheetData>
    <row r="1" spans="1:7" ht="22.8" customHeight="1">
      <c r="A1" s="17" t="s">
        <v>173</v>
      </c>
      <c r="B1" s="18"/>
      <c r="C1" s="18"/>
      <c r="D1" s="18"/>
      <c r="E1" s="18"/>
      <c r="F1" s="18"/>
      <c r="G1" s="18"/>
    </row>
    <row r="2" spans="1:7" ht="45.9" customHeight="1">
      <c r="A2" s="6" t="s">
        <v>174</v>
      </c>
      <c r="B2" s="20"/>
      <c r="C2" s="20"/>
      <c r="D2" s="20"/>
      <c r="E2" s="20"/>
      <c r="F2" s="20"/>
      <c r="G2" s="20"/>
    </row>
    <row r="3" spans="1:7">
      <c r="A3" s="3" t="s">
        <v>139</v>
      </c>
      <c r="B3" s="3" t="s">
        <v>140</v>
      </c>
      <c r="C3" s="3" t="s">
        <v>142</v>
      </c>
      <c r="D3" s="3" t="s">
        <v>175</v>
      </c>
      <c r="E3" s="3" t="s">
        <v>176</v>
      </c>
      <c r="F3" s="3" t="s">
        <v>177</v>
      </c>
      <c r="G3" s="3" t="s">
        <v>178</v>
      </c>
    </row>
    <row r="4" spans="1:7">
      <c r="A4" s="15" t="s">
        <v>146</v>
      </c>
      <c r="B4" s="15" t="s">
        <v>147</v>
      </c>
      <c r="C4" s="15" t="s">
        <v>149</v>
      </c>
      <c r="D4" s="16">
        <v>46176</v>
      </c>
      <c r="E4" s="21">
        <v>125000</v>
      </c>
      <c r="F4" s="15" t="s">
        <v>179</v>
      </c>
      <c r="G4" s="19" t="str">
        <f ca="1">IF(PaymentStatusTable[[#This Row],[Due Date]]&lt;TODAY(),"Overdue","WithinDue Date")</f>
        <v>Overdue</v>
      </c>
    </row>
    <row r="5" spans="1:7">
      <c r="A5" s="15" t="s">
        <v>150</v>
      </c>
      <c r="B5" s="15" t="s">
        <v>151</v>
      </c>
      <c r="C5" s="15" t="s">
        <v>153</v>
      </c>
      <c r="D5" s="16">
        <v>46188</v>
      </c>
      <c r="E5" s="21">
        <v>238500</v>
      </c>
      <c r="F5" s="15" t="s">
        <v>180</v>
      </c>
      <c r="G5" s="19" t="str">
        <f ca="1">IF(PaymentStatusTable[[#This Row],[Due Date]]&lt;TODAY(),"Overdue","WithinDue Date")</f>
        <v>Overdue</v>
      </c>
    </row>
    <row r="6" spans="1:7">
      <c r="A6" s="15" t="s">
        <v>154</v>
      </c>
      <c r="B6" s="15" t="s">
        <v>155</v>
      </c>
      <c r="C6" s="15" t="s">
        <v>156</v>
      </c>
      <c r="D6" s="16">
        <v>46170</v>
      </c>
      <c r="E6" s="21">
        <v>98500</v>
      </c>
      <c r="F6" s="15" t="s">
        <v>54</v>
      </c>
      <c r="G6" s="19" t="str">
        <f ca="1">IF(PaymentStatusTable[[#This Row],[Due Date]]&lt;TODAY(),"Overdue","WithinDue Date")</f>
        <v>Overdue</v>
      </c>
    </row>
    <row r="7" spans="1:7">
      <c r="A7" s="15" t="s">
        <v>157</v>
      </c>
      <c r="B7" s="15" t="s">
        <v>158</v>
      </c>
      <c r="C7" s="15" t="s">
        <v>160</v>
      </c>
      <c r="D7" s="16">
        <v>46193</v>
      </c>
      <c r="E7" s="21">
        <v>310000</v>
      </c>
      <c r="F7" s="15" t="s">
        <v>181</v>
      </c>
      <c r="G7" s="19" t="str">
        <f ca="1">IF(PaymentStatusTable[[#This Row],[Due Date]]&lt;TODAY(),"Overdue","WithinDue Date")</f>
        <v>WithinDue Date</v>
      </c>
    </row>
    <row r="8" spans="1:7">
      <c r="A8" s="15" t="s">
        <v>161</v>
      </c>
      <c r="B8" s="15" t="s">
        <v>162</v>
      </c>
      <c r="C8" s="15" t="s">
        <v>163</v>
      </c>
      <c r="D8" s="16">
        <v>46157</v>
      </c>
      <c r="E8" s="21">
        <v>176000</v>
      </c>
      <c r="F8" s="15" t="s">
        <v>182</v>
      </c>
      <c r="G8" s="19" t="str">
        <f ca="1">IF(PaymentStatusTable[[#This Row],[Due Date]]&lt;TODAY(),"Overdue","WithinDue Date")</f>
        <v>Overdue</v>
      </c>
    </row>
    <row r="9" spans="1:7">
      <c r="A9" s="15" t="s">
        <v>164</v>
      </c>
      <c r="B9" s="15" t="s">
        <v>165</v>
      </c>
      <c r="C9" s="15" t="s">
        <v>166</v>
      </c>
      <c r="D9" s="16">
        <v>46181</v>
      </c>
      <c r="E9" s="21">
        <v>88500</v>
      </c>
      <c r="F9" s="15" t="s">
        <v>58</v>
      </c>
      <c r="G9" s="19" t="str">
        <f ca="1">IF(PaymentStatusTable[[#This Row],[Due Date]]&lt;TODAY(),"Overdue","WithinDue Date")</f>
        <v>Overdue</v>
      </c>
    </row>
    <row r="10" spans="1:7">
      <c r="A10" s="15" t="s">
        <v>167</v>
      </c>
      <c r="B10" s="15" t="s">
        <v>168</v>
      </c>
      <c r="C10" s="15" t="s">
        <v>169</v>
      </c>
      <c r="D10" s="16">
        <v>46174</v>
      </c>
      <c r="E10" s="21">
        <v>143700</v>
      </c>
      <c r="F10" s="15" t="s">
        <v>42</v>
      </c>
      <c r="G10" s="19" t="str">
        <f ca="1">IF(PaymentStatusTable[[#This Row],[Due Date]]&lt;TODAY(),"Overdue","WithinDue Date")</f>
        <v>Overdue</v>
      </c>
    </row>
    <row r="11" spans="1:7">
      <c r="A11" s="15" t="s">
        <v>170</v>
      </c>
      <c r="B11" s="15" t="s">
        <v>171</v>
      </c>
      <c r="C11" s="15" t="s">
        <v>172</v>
      </c>
      <c r="D11" s="16">
        <v>46203</v>
      </c>
      <c r="E11" s="21">
        <v>402000</v>
      </c>
      <c r="F11" s="15" t="s">
        <v>38</v>
      </c>
      <c r="G11" s="19" t="str">
        <f ca="1">IF(PaymentStatusTable[[#This Row],[Due Date]]&lt;TODAY(),"Overdue","WithinDue Date")</f>
        <v>WithinDue Date</v>
      </c>
    </row>
    <row r="14" spans="1:7">
      <c r="F14" s="24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zoomScale="108" zoomScaleNormal="160" workbookViewId="0">
      <selection activeCell="G9" sqref="G9"/>
    </sheetView>
  </sheetViews>
  <sheetFormatPr defaultRowHeight="13.8"/>
  <cols>
    <col min="1" max="1" width="13" customWidth="1"/>
    <col min="2" max="2" width="20" customWidth="1"/>
    <col min="3" max="3" width="22" customWidth="1"/>
    <col min="4" max="4" width="18" customWidth="1"/>
    <col min="5" max="5" width="15" customWidth="1"/>
    <col min="6" max="6" width="16" hidden="1" customWidth="1"/>
    <col min="7" max="7" width="18" customWidth="1"/>
  </cols>
  <sheetData>
    <row r="1" spans="1:7" ht="25.2" customHeight="1">
      <c r="A1" s="17" t="s">
        <v>184</v>
      </c>
      <c r="B1" s="18"/>
      <c r="C1" s="18"/>
      <c r="D1" s="18"/>
      <c r="E1" s="18"/>
      <c r="F1" s="18"/>
      <c r="G1" s="18"/>
    </row>
    <row r="2" spans="1:7" ht="45.9" customHeight="1">
      <c r="A2" s="6" t="s">
        <v>185</v>
      </c>
      <c r="B2" s="20"/>
      <c r="C2" s="20"/>
      <c r="D2" s="20"/>
      <c r="E2" s="20"/>
      <c r="F2" s="20"/>
      <c r="G2" s="20"/>
    </row>
    <row r="3" spans="1:7" ht="18" customHeight="1">
      <c r="A3" s="3" t="s">
        <v>25</v>
      </c>
      <c r="B3" s="3" t="s">
        <v>26</v>
      </c>
      <c r="C3" s="3" t="s">
        <v>106</v>
      </c>
      <c r="D3" s="3" t="s">
        <v>27</v>
      </c>
      <c r="E3" s="3" t="s">
        <v>107</v>
      </c>
      <c r="F3" s="3" t="s">
        <v>186</v>
      </c>
      <c r="G3" s="3" t="s">
        <v>187</v>
      </c>
    </row>
    <row r="4" spans="1:7">
      <c r="A4" s="15" t="s">
        <v>188</v>
      </c>
      <c r="B4" s="15" t="s">
        <v>189</v>
      </c>
      <c r="C4" s="15" t="s">
        <v>190</v>
      </c>
      <c r="D4" s="15" t="s">
        <v>116</v>
      </c>
      <c r="E4" s="16">
        <v>46023</v>
      </c>
      <c r="F4" s="15">
        <v>6</v>
      </c>
      <c r="G4" s="25">
        <f>EDATE(ProbationTable[[#This Row],[Joining Date]],6)</f>
        <v>46204</v>
      </c>
    </row>
    <row r="5" spans="1:7">
      <c r="A5" s="15" t="s">
        <v>191</v>
      </c>
      <c r="B5" s="15" t="s">
        <v>192</v>
      </c>
      <c r="C5" s="15" t="s">
        <v>193</v>
      </c>
      <c r="D5" s="15" t="s">
        <v>35</v>
      </c>
      <c r="E5" s="16">
        <v>46068</v>
      </c>
      <c r="F5" s="15">
        <v>3</v>
      </c>
      <c r="G5" s="25">
        <f>EDATE(ProbationTable[[#This Row],[Joining Date]],6)</f>
        <v>46249</v>
      </c>
    </row>
    <row r="6" spans="1:7">
      <c r="A6" s="15" t="s">
        <v>194</v>
      </c>
      <c r="B6" s="15" t="s">
        <v>195</v>
      </c>
      <c r="C6" s="15" t="s">
        <v>196</v>
      </c>
      <c r="D6" s="15" t="s">
        <v>47</v>
      </c>
      <c r="E6" s="16">
        <v>46091</v>
      </c>
      <c r="F6" s="15">
        <v>6</v>
      </c>
      <c r="G6" s="25">
        <f>EDATE(ProbationTable[[#This Row],[Joining Date]],6)</f>
        <v>46275</v>
      </c>
    </row>
    <row r="7" spans="1:7">
      <c r="A7" s="15" t="s">
        <v>197</v>
      </c>
      <c r="B7" s="15" t="s">
        <v>198</v>
      </c>
      <c r="C7" s="15" t="s">
        <v>199</v>
      </c>
      <c r="D7" s="15" t="s">
        <v>55</v>
      </c>
      <c r="E7" s="16">
        <v>46113</v>
      </c>
      <c r="F7" s="15">
        <v>3</v>
      </c>
      <c r="G7" s="25">
        <f>EDATE(ProbationTable[[#This Row],[Joining Date]],6)</f>
        <v>46296</v>
      </c>
    </row>
    <row r="8" spans="1:7">
      <c r="A8" s="15" t="s">
        <v>200</v>
      </c>
      <c r="B8" s="15" t="s">
        <v>201</v>
      </c>
      <c r="C8" s="15" t="s">
        <v>202</v>
      </c>
      <c r="D8" s="15" t="s">
        <v>112</v>
      </c>
      <c r="E8" s="16">
        <v>46147</v>
      </c>
      <c r="F8" s="15">
        <v>6</v>
      </c>
      <c r="G8" s="25">
        <f>EDATE(ProbationTable[[#This Row],[Joining Date]],6)</f>
        <v>46331</v>
      </c>
    </row>
    <row r="9" spans="1:7">
      <c r="A9" s="15" t="s">
        <v>203</v>
      </c>
      <c r="B9" s="15" t="s">
        <v>204</v>
      </c>
      <c r="C9" s="15" t="s">
        <v>205</v>
      </c>
      <c r="D9" s="15" t="s">
        <v>62</v>
      </c>
      <c r="E9" s="16">
        <v>46042</v>
      </c>
      <c r="F9" s="15">
        <v>6</v>
      </c>
      <c r="G9" s="25">
        <f>EDATE(ProbationTable[[#This Row],[Joining Date]],6)</f>
        <v>46223</v>
      </c>
    </row>
    <row r="10" spans="1:7">
      <c r="A10" s="15" t="s">
        <v>206</v>
      </c>
      <c r="B10" s="15" t="s">
        <v>207</v>
      </c>
      <c r="C10" s="15" t="s">
        <v>208</v>
      </c>
      <c r="D10" s="15" t="s">
        <v>127</v>
      </c>
      <c r="E10" s="16">
        <v>46081</v>
      </c>
      <c r="F10" s="15">
        <v>6</v>
      </c>
      <c r="G10" s="25">
        <f>EDATE(ProbationTable[[#This Row],[Joining Date]],6)</f>
        <v>46262</v>
      </c>
    </row>
    <row r="11" spans="1:7">
      <c r="A11" s="15" t="s">
        <v>209</v>
      </c>
      <c r="B11" s="15" t="s">
        <v>210</v>
      </c>
      <c r="C11" s="15" t="s">
        <v>211</v>
      </c>
      <c r="D11" s="15" t="s">
        <v>212</v>
      </c>
      <c r="E11" s="16">
        <v>46106</v>
      </c>
      <c r="F11" s="15">
        <v>3</v>
      </c>
      <c r="G11" s="25">
        <f>EDATE(ProbationTable[[#This Row],[Joining Date]],6)</f>
        <v>46290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zoomScale="113" zoomScaleNormal="160" workbookViewId="0">
      <selection activeCell="D21" sqref="D21"/>
    </sheetView>
  </sheetViews>
  <sheetFormatPr defaultRowHeight="13.8"/>
  <cols>
    <col min="1" max="1" width="13" customWidth="1"/>
    <col min="2" max="2" width="22" customWidth="1"/>
    <col min="3" max="3" width="16" customWidth="1"/>
    <col min="4" max="4" width="18" customWidth="1"/>
    <col min="5" max="5" width="15" customWidth="1"/>
    <col min="6" max="6" width="16" hidden="1" customWidth="1"/>
    <col min="7" max="7" width="14.5" bestFit="1" customWidth="1"/>
    <col min="8" max="8" width="18" customWidth="1"/>
  </cols>
  <sheetData>
    <row r="1" spans="1:8" ht="24.6" customHeight="1">
      <c r="A1" s="17" t="s">
        <v>213</v>
      </c>
      <c r="B1" s="18"/>
      <c r="C1" s="18"/>
      <c r="D1" s="18"/>
      <c r="E1" s="18"/>
      <c r="F1" s="18"/>
      <c r="G1" s="18"/>
      <c r="H1" s="18"/>
    </row>
    <row r="2" spans="1:8" ht="45.9" customHeight="1">
      <c r="A2" s="6" t="s">
        <v>214</v>
      </c>
      <c r="B2" s="20"/>
      <c r="C2" s="20"/>
      <c r="D2" s="20"/>
      <c r="E2" s="20"/>
      <c r="F2" s="20"/>
      <c r="G2" s="20"/>
      <c r="H2" s="20"/>
    </row>
    <row r="3" spans="1:8" ht="18.600000000000001" customHeight="1">
      <c r="A3" s="3" t="s">
        <v>215</v>
      </c>
      <c r="B3" s="3" t="s">
        <v>140</v>
      </c>
      <c r="C3" s="3" t="s">
        <v>216</v>
      </c>
      <c r="D3" s="3" t="s">
        <v>217</v>
      </c>
      <c r="E3" s="3" t="s">
        <v>218</v>
      </c>
      <c r="F3" s="3" t="s">
        <v>219</v>
      </c>
      <c r="G3" s="3" t="s">
        <v>220</v>
      </c>
      <c r="H3" s="3" t="s">
        <v>221</v>
      </c>
    </row>
    <row r="4" spans="1:8">
      <c r="A4" s="15" t="s">
        <v>222</v>
      </c>
      <c r="B4" s="15" t="s">
        <v>223</v>
      </c>
      <c r="C4" s="15" t="s">
        <v>75</v>
      </c>
      <c r="D4" s="15" t="s">
        <v>224</v>
      </c>
      <c r="E4" s="16">
        <v>46174</v>
      </c>
      <c r="F4" s="15">
        <v>3</v>
      </c>
      <c r="G4" s="15" t="s">
        <v>225</v>
      </c>
      <c r="H4" s="16"/>
    </row>
    <row r="5" spans="1:8">
      <c r="A5" s="15" t="s">
        <v>226</v>
      </c>
      <c r="B5" s="15" t="s">
        <v>227</v>
      </c>
      <c r="C5" s="15" t="s">
        <v>79</v>
      </c>
      <c r="D5" s="15" t="s">
        <v>228</v>
      </c>
      <c r="E5" s="16">
        <v>46177</v>
      </c>
      <c r="F5" s="15">
        <v>3</v>
      </c>
      <c r="G5" s="15" t="s">
        <v>225</v>
      </c>
      <c r="H5" s="16"/>
    </row>
    <row r="6" spans="1:8">
      <c r="A6" s="15" t="s">
        <v>229</v>
      </c>
      <c r="B6" s="15" t="s">
        <v>230</v>
      </c>
      <c r="C6" s="15" t="s">
        <v>99</v>
      </c>
      <c r="D6" s="15" t="s">
        <v>231</v>
      </c>
      <c r="E6" s="16">
        <v>46178</v>
      </c>
      <c r="F6" s="15">
        <v>5</v>
      </c>
      <c r="G6" s="15" t="s">
        <v>225</v>
      </c>
      <c r="H6" s="16"/>
    </row>
    <row r="7" spans="1:8">
      <c r="A7" s="15" t="s">
        <v>232</v>
      </c>
      <c r="B7" s="15" t="s">
        <v>233</v>
      </c>
      <c r="C7" s="15" t="s">
        <v>83</v>
      </c>
      <c r="D7" s="15" t="s">
        <v>234</v>
      </c>
      <c r="E7" s="16">
        <v>46180</v>
      </c>
      <c r="F7" s="15">
        <v>4</v>
      </c>
      <c r="G7" s="15" t="s">
        <v>225</v>
      </c>
      <c r="H7" s="16"/>
    </row>
    <row r="8" spans="1:8">
      <c r="A8" s="15" t="s">
        <v>235</v>
      </c>
      <c r="B8" s="15" t="s">
        <v>236</v>
      </c>
      <c r="C8" s="15" t="s">
        <v>87</v>
      </c>
      <c r="D8" s="15" t="s">
        <v>237</v>
      </c>
      <c r="E8" s="16">
        <v>46183</v>
      </c>
      <c r="F8" s="15">
        <v>3</v>
      </c>
      <c r="G8" s="15" t="s">
        <v>225</v>
      </c>
      <c r="H8" s="16"/>
    </row>
    <row r="9" spans="1:8">
      <c r="A9" s="15" t="s">
        <v>238</v>
      </c>
      <c r="B9" s="15" t="s">
        <v>239</v>
      </c>
      <c r="C9" s="15" t="s">
        <v>240</v>
      </c>
      <c r="D9" s="15" t="s">
        <v>241</v>
      </c>
      <c r="E9" s="16">
        <v>46185</v>
      </c>
      <c r="F9" s="15">
        <v>2</v>
      </c>
      <c r="G9" s="15" t="s">
        <v>225</v>
      </c>
      <c r="H9" s="16"/>
    </row>
    <row r="10" spans="1:8">
      <c r="A10" s="15" t="s">
        <v>242</v>
      </c>
      <c r="B10" s="15" t="s">
        <v>243</v>
      </c>
      <c r="C10" s="15" t="s">
        <v>244</v>
      </c>
      <c r="D10" s="15" t="s">
        <v>245</v>
      </c>
      <c r="E10" s="16">
        <v>46188</v>
      </c>
      <c r="F10" s="15">
        <v>4</v>
      </c>
      <c r="G10" s="15" t="s">
        <v>225</v>
      </c>
      <c r="H10" s="16"/>
    </row>
    <row r="11" spans="1:8">
      <c r="A11" s="15" t="s">
        <v>246</v>
      </c>
      <c r="B11" s="15" t="s">
        <v>168</v>
      </c>
      <c r="C11" s="15" t="s">
        <v>247</v>
      </c>
      <c r="D11" s="15" t="s">
        <v>248</v>
      </c>
      <c r="E11" s="16">
        <v>46191</v>
      </c>
      <c r="F11" s="15">
        <v>5</v>
      </c>
      <c r="G11" s="15" t="s">
        <v>225</v>
      </c>
      <c r="H11" s="16"/>
    </row>
  </sheetData>
  <mergeCells count="2">
    <mergeCell ref="A1:H1"/>
    <mergeCell ref="A2:H2"/>
  </mergeCells>
  <pageMargins left="0.7" right="0.7" top="0.75" bottom="0.75" header="0.3" footer="0.3"/>
  <ignoredErrors>
    <ignoredError sqref="G4:G11" numberStoredAsText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zoomScale="117" zoomScaleNormal="160" workbookViewId="0">
      <selection activeCell="A2" sqref="A2:H2"/>
    </sheetView>
  </sheetViews>
  <sheetFormatPr defaultRowHeight="13.8"/>
  <cols>
    <col min="1" max="1" width="12" customWidth="1"/>
    <col min="2" max="2" width="15" customWidth="1"/>
    <col min="3" max="3" width="24" customWidth="1"/>
    <col min="4" max="4" width="15" customWidth="1"/>
    <col min="5" max="5" width="14" customWidth="1"/>
    <col min="6" max="6" width="12" customWidth="1"/>
    <col min="7" max="7" width="14" customWidth="1"/>
    <col min="8" max="8" width="15" customWidth="1"/>
  </cols>
  <sheetData>
    <row r="1" spans="1:8" ht="21.6" customHeight="1">
      <c r="A1" s="17" t="s">
        <v>249</v>
      </c>
      <c r="B1" s="18"/>
      <c r="C1" s="18"/>
      <c r="D1" s="18"/>
      <c r="E1" s="18"/>
      <c r="F1" s="18"/>
      <c r="G1" s="18"/>
      <c r="H1" s="18"/>
    </row>
    <row r="2" spans="1:8" ht="45.9" customHeight="1">
      <c r="A2" s="6" t="s">
        <v>250</v>
      </c>
      <c r="B2" s="20"/>
      <c r="C2" s="20"/>
      <c r="D2" s="20"/>
      <c r="E2" s="20"/>
      <c r="F2" s="20"/>
      <c r="G2" s="20"/>
      <c r="H2" s="20"/>
    </row>
    <row r="3" spans="1:8">
      <c r="A3" s="3" t="s">
        <v>251</v>
      </c>
      <c r="B3" s="3" t="s">
        <v>252</v>
      </c>
      <c r="C3" s="3" t="s">
        <v>253</v>
      </c>
      <c r="D3" s="3" t="s">
        <v>254</v>
      </c>
      <c r="E3" s="3" t="s">
        <v>255</v>
      </c>
      <c r="F3" s="3" t="s">
        <v>256</v>
      </c>
      <c r="G3" s="3" t="s">
        <v>257</v>
      </c>
      <c r="H3" s="3" t="s">
        <v>258</v>
      </c>
    </row>
    <row r="4" spans="1:8">
      <c r="A4" s="15" t="s">
        <v>259</v>
      </c>
      <c r="B4" s="16">
        <v>46174</v>
      </c>
      <c r="C4" s="15" t="s">
        <v>260</v>
      </c>
      <c r="D4" s="15" t="s">
        <v>261</v>
      </c>
      <c r="E4" s="21">
        <v>185000</v>
      </c>
      <c r="F4" s="22">
        <v>340</v>
      </c>
      <c r="G4" s="15" t="str">
        <f>TEXT(DaySalesTable[[#This Row],[Sales Date]],"dddd")</f>
        <v>Monday</v>
      </c>
      <c r="H4" s="19" t="str">
        <f>IF(OR(TEXT(DaySalesTable[[#This Row],[Sales Date]],"dddd")="Friday",TEXT(DaySalesTable[[#This Row],[Sales Date]],"dddd")="Saturday"),"Weekend","Weekday")</f>
        <v>Weekday</v>
      </c>
    </row>
    <row r="5" spans="1:8">
      <c r="A5" s="15" t="s">
        <v>262</v>
      </c>
      <c r="B5" s="16">
        <v>46178</v>
      </c>
      <c r="C5" s="15" t="s">
        <v>263</v>
      </c>
      <c r="D5" s="15" t="s">
        <v>264</v>
      </c>
      <c r="E5" s="21">
        <v>265000</v>
      </c>
      <c r="F5" s="22">
        <v>520</v>
      </c>
      <c r="G5" s="15" t="str">
        <f>TEXT(DaySalesTable[[#This Row],[Sales Date]],"dddd")</f>
        <v>Friday</v>
      </c>
      <c r="H5" s="19" t="str">
        <f>IF(OR(TEXT(DaySalesTable[[#This Row],[Sales Date]],"dddd")="Friday",TEXT(DaySalesTable[[#This Row],[Sales Date]],"dddd")="Saturday"),"Weekend","Weekday")</f>
        <v>Weekend</v>
      </c>
    </row>
    <row r="6" spans="1:8">
      <c r="A6" s="15" t="s">
        <v>265</v>
      </c>
      <c r="B6" s="16">
        <v>46179</v>
      </c>
      <c r="C6" s="15" t="s">
        <v>266</v>
      </c>
      <c r="D6" s="15" t="s">
        <v>267</v>
      </c>
      <c r="E6" s="21">
        <v>198000</v>
      </c>
      <c r="F6" s="22">
        <v>410</v>
      </c>
      <c r="G6" s="15" t="str">
        <f>TEXT(DaySalesTable[[#This Row],[Sales Date]],"dddd")</f>
        <v>Saturday</v>
      </c>
      <c r="H6" s="19" t="str">
        <f>IF(OR(TEXT(DaySalesTable[[#This Row],[Sales Date]],"dddd")="Friday",TEXT(DaySalesTable[[#This Row],[Sales Date]],"dddd")="Saturday"),"Weekend","Weekday")</f>
        <v>Weekend</v>
      </c>
    </row>
    <row r="7" spans="1:8">
      <c r="A7" s="15" t="s">
        <v>268</v>
      </c>
      <c r="B7" s="16">
        <v>46180</v>
      </c>
      <c r="C7" s="15" t="s">
        <v>269</v>
      </c>
      <c r="D7" s="15" t="s">
        <v>270</v>
      </c>
      <c r="E7" s="21">
        <v>92000</v>
      </c>
      <c r="F7" s="22">
        <v>255</v>
      </c>
      <c r="G7" s="15" t="str">
        <f>TEXT(DaySalesTable[[#This Row],[Sales Date]],"dddd")</f>
        <v>Sunday</v>
      </c>
      <c r="H7" s="19" t="str">
        <f>IF(OR(TEXT(DaySalesTable[[#This Row],[Sales Date]],"dddd")="Friday",TEXT(DaySalesTable[[#This Row],[Sales Date]],"dddd")="Saturday"),"Weekend","Weekday")</f>
        <v>Weekday</v>
      </c>
    </row>
    <row r="8" spans="1:8">
      <c r="A8" s="15" t="s">
        <v>271</v>
      </c>
      <c r="B8" s="16">
        <v>46185</v>
      </c>
      <c r="C8" s="15" t="s">
        <v>272</v>
      </c>
      <c r="D8" s="15" t="s">
        <v>264</v>
      </c>
      <c r="E8" s="21">
        <v>156000</v>
      </c>
      <c r="F8" s="22">
        <v>360</v>
      </c>
      <c r="G8" s="15" t="str">
        <f>TEXT(DaySalesTable[[#This Row],[Sales Date]],"dddd")</f>
        <v>Friday</v>
      </c>
      <c r="H8" s="19" t="str">
        <f>IF(OR(TEXT(DaySalesTable[[#This Row],[Sales Date]],"dddd")="Friday",TEXT(DaySalesTable[[#This Row],[Sales Date]],"dddd")="Saturday"),"Weekend","Weekday")</f>
        <v>Weekend</v>
      </c>
    </row>
    <row r="9" spans="1:8">
      <c r="A9" s="15" t="s">
        <v>273</v>
      </c>
      <c r="B9" s="16">
        <v>46186</v>
      </c>
      <c r="C9" s="15" t="s">
        <v>274</v>
      </c>
      <c r="D9" s="15" t="s">
        <v>261</v>
      </c>
      <c r="E9" s="21">
        <v>134000</v>
      </c>
      <c r="F9" s="22">
        <v>315</v>
      </c>
      <c r="G9" s="15" t="str">
        <f>TEXT(DaySalesTable[[#This Row],[Sales Date]],"dddd")</f>
        <v>Saturday</v>
      </c>
      <c r="H9" s="19" t="str">
        <f>IF(OR(TEXT(DaySalesTable[[#This Row],[Sales Date]],"dddd")="Friday",TEXT(DaySalesTable[[#This Row],[Sales Date]],"dddd")="Saturday"),"Weekend","Weekday")</f>
        <v>Weekend</v>
      </c>
    </row>
    <row r="10" spans="1:8">
      <c r="A10" s="15" t="s">
        <v>275</v>
      </c>
      <c r="B10" s="16">
        <v>46187</v>
      </c>
      <c r="C10" s="15" t="s">
        <v>276</v>
      </c>
      <c r="D10" s="15" t="s">
        <v>270</v>
      </c>
      <c r="E10" s="21">
        <v>88000</v>
      </c>
      <c r="F10" s="22">
        <v>240</v>
      </c>
      <c r="G10" s="15" t="str">
        <f>TEXT(DaySalesTable[[#This Row],[Sales Date]],"dddd")</f>
        <v>Sunday</v>
      </c>
      <c r="H10" s="19" t="str">
        <f>IF(OR(TEXT(DaySalesTable[[#This Row],[Sales Date]],"dddd")="Friday",TEXT(DaySalesTable[[#This Row],[Sales Date]],"dddd")="Saturday"),"Weekend","Weekday")</f>
        <v>Weekday</v>
      </c>
    </row>
    <row r="11" spans="1:8">
      <c r="A11" s="15" t="s">
        <v>277</v>
      </c>
      <c r="B11" s="16">
        <v>46191</v>
      </c>
      <c r="C11" s="15" t="s">
        <v>278</v>
      </c>
      <c r="D11" s="15" t="s">
        <v>267</v>
      </c>
      <c r="E11" s="21">
        <v>210000</v>
      </c>
      <c r="F11" s="22">
        <v>455</v>
      </c>
      <c r="G11" s="15" t="str">
        <f>TEXT(DaySalesTable[[#This Row],[Sales Date]],"dddd")</f>
        <v>Thursday</v>
      </c>
      <c r="H11" s="19" t="str">
        <f>IF(OR(TEXT(DaySalesTable[[#This Row],[Sales Date]],"dddd")="Friday",TEXT(DaySalesTable[[#This Row],[Sales Date]],"dddd")="Saturday"),"Weekend","Weekday")</f>
        <v>Weekday</v>
      </c>
    </row>
  </sheetData>
  <mergeCells count="2">
    <mergeCell ref="A1:H1"/>
    <mergeCell ref="A2:H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tabSelected="1" zoomScale="106" zoomScaleNormal="160" workbookViewId="0">
      <selection activeCell="F22" sqref="F22"/>
    </sheetView>
  </sheetViews>
  <sheetFormatPr defaultRowHeight="13.8"/>
  <cols>
    <col min="1" max="1" width="13" customWidth="1"/>
    <col min="2" max="2" width="15" customWidth="1"/>
    <col min="3" max="3" width="16" customWidth="1"/>
    <col min="4" max="4" width="22" customWidth="1"/>
    <col min="5" max="5" width="10" customWidth="1"/>
    <col min="6" max="6" width="14" customWidth="1"/>
    <col min="7" max="8" width="18" customWidth="1"/>
  </cols>
  <sheetData>
    <row r="1" spans="1:8" ht="24.6" customHeight="1">
      <c r="A1" s="17" t="s">
        <v>279</v>
      </c>
      <c r="B1" s="18"/>
      <c r="C1" s="18"/>
      <c r="D1" s="18"/>
      <c r="E1" s="18"/>
      <c r="F1" s="18"/>
      <c r="G1" s="18"/>
      <c r="H1" s="18"/>
    </row>
    <row r="2" spans="1:8" ht="45.9" customHeight="1">
      <c r="A2" s="26" t="s">
        <v>280</v>
      </c>
      <c r="B2" s="27"/>
      <c r="C2" s="27"/>
      <c r="D2" s="27"/>
      <c r="E2" s="27"/>
      <c r="F2" s="27"/>
      <c r="G2" s="27"/>
      <c r="H2" s="27"/>
    </row>
    <row r="3" spans="1:8" ht="18.600000000000001" customHeight="1">
      <c r="A3" s="3" t="s">
        <v>281</v>
      </c>
      <c r="B3" s="3" t="s">
        <v>252</v>
      </c>
      <c r="C3" s="3" t="s">
        <v>282</v>
      </c>
      <c r="D3" s="3" t="s">
        <v>283</v>
      </c>
      <c r="E3" s="3" t="s">
        <v>284</v>
      </c>
      <c r="F3" s="3" t="s">
        <v>285</v>
      </c>
      <c r="G3" s="3" t="s">
        <v>286</v>
      </c>
      <c r="H3" s="3" t="s">
        <v>287</v>
      </c>
    </row>
    <row r="4" spans="1:8">
      <c r="A4" s="15" t="s">
        <v>288</v>
      </c>
      <c r="B4" s="16">
        <v>46176</v>
      </c>
      <c r="C4" s="15" t="s">
        <v>289</v>
      </c>
      <c r="D4" s="15" t="s">
        <v>290</v>
      </c>
      <c r="E4" s="15">
        <v>1</v>
      </c>
      <c r="F4" s="21">
        <v>4990</v>
      </c>
      <c r="G4" s="25">
        <f>EOMONTH(MonthlyHelperTable[[#This Row],[Sales Date]],0)</f>
        <v>46203</v>
      </c>
      <c r="H4" s="19" t="str">
        <f>TEXT(MonthlyHelperTable[[#This Row],[Sales Date]],"mmm-yyyy")</f>
        <v>Jun-2026</v>
      </c>
    </row>
    <row r="5" spans="1:8">
      <c r="A5" s="15" t="s">
        <v>291</v>
      </c>
      <c r="B5" s="16">
        <v>46189</v>
      </c>
      <c r="C5" s="15" t="s">
        <v>292</v>
      </c>
      <c r="D5" s="15" t="s">
        <v>183</v>
      </c>
      <c r="E5" s="15">
        <v>3</v>
      </c>
      <c r="F5" s="21">
        <v>9000</v>
      </c>
      <c r="G5" s="25">
        <f>EOMONTH(MonthlyHelperTable[[#This Row],[Sales Date]],0)</f>
        <v>46203</v>
      </c>
      <c r="H5" s="19" t="str">
        <f>TEXT(MonthlyHelperTable[[#This Row],[Sales Date]],"mmm-yyyy")</f>
        <v>Jun-2026</v>
      </c>
    </row>
    <row r="6" spans="1:8">
      <c r="A6" s="15" t="s">
        <v>293</v>
      </c>
      <c r="B6" s="16">
        <v>46208</v>
      </c>
      <c r="C6" s="15" t="s">
        <v>294</v>
      </c>
      <c r="D6" s="15" t="s">
        <v>295</v>
      </c>
      <c r="E6" s="15">
        <v>12</v>
      </c>
      <c r="F6" s="21">
        <v>120000</v>
      </c>
      <c r="G6" s="25">
        <f>EOMONTH(MonthlyHelperTable[[#This Row],[Sales Date]],0)</f>
        <v>46234</v>
      </c>
      <c r="H6" s="19" t="str">
        <f>TEXT(MonthlyHelperTable[[#This Row],[Sales Date]],"mmm-yyyy")</f>
        <v>Jul-2026</v>
      </c>
    </row>
    <row r="7" spans="1:8">
      <c r="A7" s="15" t="s">
        <v>296</v>
      </c>
      <c r="B7" s="16">
        <v>46223</v>
      </c>
      <c r="C7" s="15" t="s">
        <v>297</v>
      </c>
      <c r="D7" s="15" t="s">
        <v>298</v>
      </c>
      <c r="E7" s="15">
        <v>2</v>
      </c>
      <c r="F7" s="21">
        <v>30000</v>
      </c>
      <c r="G7" s="25">
        <f>EOMONTH(MonthlyHelperTable[[#This Row],[Sales Date]],0)</f>
        <v>46234</v>
      </c>
      <c r="H7" s="19" t="str">
        <f>TEXT(MonthlyHelperTable[[#This Row],[Sales Date]],"mmm-yyyy")</f>
        <v>Jul-2026</v>
      </c>
    </row>
    <row r="8" spans="1:8">
      <c r="A8" s="15" t="s">
        <v>299</v>
      </c>
      <c r="B8" s="16">
        <v>46242</v>
      </c>
      <c r="C8" s="15" t="s">
        <v>289</v>
      </c>
      <c r="D8" s="15" t="s">
        <v>300</v>
      </c>
      <c r="E8" s="15">
        <v>5</v>
      </c>
      <c r="F8" s="21">
        <v>25000</v>
      </c>
      <c r="G8" s="25">
        <f>EOMONTH(MonthlyHelperTable[[#This Row],[Sales Date]],0)</f>
        <v>46265</v>
      </c>
      <c r="H8" s="19" t="str">
        <f>TEXT(MonthlyHelperTable[[#This Row],[Sales Date]],"mmm-yyyy")</f>
        <v>Aug-2026</v>
      </c>
    </row>
    <row r="9" spans="1:8">
      <c r="A9" s="15" t="s">
        <v>301</v>
      </c>
      <c r="B9" s="16">
        <v>46253</v>
      </c>
      <c r="C9" s="15" t="s">
        <v>292</v>
      </c>
      <c r="D9" s="15" t="s">
        <v>302</v>
      </c>
      <c r="E9" s="15">
        <v>4</v>
      </c>
      <c r="F9" s="21">
        <v>28000</v>
      </c>
      <c r="G9" s="25">
        <f>EOMONTH(MonthlyHelperTable[[#This Row],[Sales Date]],0)</f>
        <v>46265</v>
      </c>
      <c r="H9" s="19" t="str">
        <f>TEXT(MonthlyHelperTable[[#This Row],[Sales Date]],"mmm-yyyy")</f>
        <v>Aug-2026</v>
      </c>
    </row>
    <row r="10" spans="1:8">
      <c r="A10" s="15" t="s">
        <v>303</v>
      </c>
      <c r="B10" s="16">
        <v>46267</v>
      </c>
      <c r="C10" s="15" t="s">
        <v>294</v>
      </c>
      <c r="D10" s="15" t="s">
        <v>304</v>
      </c>
      <c r="E10" s="15">
        <v>10</v>
      </c>
      <c r="F10" s="21">
        <v>95000</v>
      </c>
      <c r="G10" s="25">
        <f>EOMONTH(MonthlyHelperTable[[#This Row],[Sales Date]],0)</f>
        <v>46295</v>
      </c>
      <c r="H10" s="19" t="str">
        <f>TEXT(MonthlyHelperTable[[#This Row],[Sales Date]],"mmm-yyyy")</f>
        <v>Sep-2026</v>
      </c>
    </row>
    <row r="11" spans="1:8">
      <c r="A11" s="15" t="s">
        <v>305</v>
      </c>
      <c r="B11" s="16">
        <v>46282</v>
      </c>
      <c r="C11" s="15" t="s">
        <v>289</v>
      </c>
      <c r="D11" s="15" t="s">
        <v>306</v>
      </c>
      <c r="E11" s="15">
        <v>6</v>
      </c>
      <c r="F11" s="21">
        <v>78000</v>
      </c>
      <c r="G11" s="25">
        <f>EOMONTH(MonthlyHelperTable[[#This Row],[Sales Date]],0)</f>
        <v>46295</v>
      </c>
      <c r="H11" s="19" t="str">
        <f>TEXT(MonthlyHelperTable[[#This Row],[Sales Date]],"mmm-yyyy")</f>
        <v>Sep-2026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Req Index</vt:lpstr>
      <vt:lpstr>01_HR_Attendance</vt:lpstr>
      <vt:lpstr>02_Age_KYC</vt:lpstr>
      <vt:lpstr>03_Service_Length</vt:lpstr>
      <vt:lpstr>04_Invoice_Aging</vt:lpstr>
      <vt:lpstr>05_Payment_Status</vt:lpstr>
      <vt:lpstr>07_Probation_End</vt:lpstr>
      <vt:lpstr>08_Delivery_SLA</vt:lpstr>
      <vt:lpstr>09_Day_Name_Sales</vt:lpstr>
      <vt:lpstr>10_Monthly_Helper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2026-06-09T15:00:33Z</dcterms:created>
  <dcterms:modified xsi:type="dcterms:W3CDTF">2026-06-17T18:52:10Z</dcterms:modified>
</cp:coreProperties>
</file>